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ón" sheetId="1" state="visible" r:id="rId1"/>
    <sheet xmlns:r="http://schemas.openxmlformats.org/officeDocument/2006/relationships" name="Overhead y Capacidad" sheetId="2" state="visible" r:id="rId2"/>
    <sheet xmlns:r="http://schemas.openxmlformats.org/officeDocument/2006/relationships" name="Calculadora WBS" sheetId="3" state="visible" r:id="rId3"/>
    <sheet xmlns:r="http://schemas.openxmlformats.org/officeDocument/2006/relationships" name="ACU de Servicios" sheetId="4" state="visible" r:id="rId4"/>
    <sheet xmlns:r="http://schemas.openxmlformats.org/officeDocument/2006/relationships" name="ACU de Adicionales" sheetId="5" state="visible" r:id="rId5"/>
    <sheet xmlns:r="http://schemas.openxmlformats.org/officeDocument/2006/relationships" name="Catálogo Comercial" sheetId="6" state="visible" r:id="rId6"/>
    <sheet xmlns:r="http://schemas.openxmlformats.org/officeDocument/2006/relationships" name="Simulador de Caj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S/. #,##0.00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0F4F8"/>
        <bgColor rgb="00F0F4F8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  <fill>
      <patternFill patternType="solid">
        <fgColor rgb="00FFEAD2"/>
        <bgColor rgb="00FFEAD2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pivotButton="0" quotePrefix="0" xfId="0"/>
    <xf numFmtId="164" fontId="5" fillId="3" borderId="1" applyAlignment="1" pivotButton="0" quotePrefix="0" xfId="0">
      <alignment horizontal="right"/>
    </xf>
    <xf numFmtId="0" fontId="4" fillId="4" borderId="1" pivotButton="0" quotePrefix="0" xfId="0"/>
    <xf numFmtId="164" fontId="5" fillId="4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166" fontId="5" fillId="3" borderId="1" applyAlignment="1" pivotButton="0" quotePrefix="0" xfId="0">
      <alignment horizontal="right"/>
    </xf>
    <xf numFmtId="166" fontId="5" fillId="4" borderId="1" applyAlignment="1" pivotButton="0" quotePrefix="0" xfId="0">
      <alignment horizontal="right"/>
    </xf>
    <xf numFmtId="0" fontId="5" fillId="0" borderId="0" pivotButton="0" quotePrefix="0" xfId="0"/>
    <xf numFmtId="0" fontId="3" fillId="2" borderId="0" applyAlignment="1" pivotButton="0" quotePrefix="0" xfId="0">
      <alignment horizontal="center"/>
    </xf>
    <xf numFmtId="3" fontId="5" fillId="4" borderId="1" applyAlignment="1" pivotButton="0" quotePrefix="0" xfId="0">
      <alignment horizontal="right"/>
    </xf>
    <xf numFmtId="3" fontId="5" fillId="3" borderId="1" applyAlignment="1" pivotButton="0" quotePrefix="0" xfId="0">
      <alignment horizontal="right"/>
    </xf>
    <xf numFmtId="0" fontId="5" fillId="5" borderId="1" pivotButton="0" quotePrefix="0" xfId="0"/>
    <xf numFmtId="164" fontId="5" fillId="5" borderId="1" applyAlignment="1" pivotButton="0" quotePrefix="0" xfId="0">
      <alignment horizontal="right"/>
    </xf>
    <xf numFmtId="0" fontId="4" fillId="4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3" fontId="5" fillId="6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right"/>
    </xf>
    <xf numFmtId="0" fontId="4" fillId="0" borderId="1" pivotButton="0" quotePrefix="0" xfId="0"/>
    <xf numFmtId="3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5" fillId="4" borderId="1" pivotButton="0" quotePrefix="0" xfId="0"/>
    <xf numFmtId="166" fontId="5" fillId="0" borderId="1" applyAlignment="1" pivotButton="0" quotePrefix="0" xfId="0">
      <alignment horizontal="right"/>
    </xf>
    <xf numFmtId="0" fontId="5" fillId="5" borderId="2" pivotButton="0" quotePrefix="0" xfId="0"/>
    <xf numFmtId="164" fontId="5" fillId="5" borderId="2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7" borderId="1" pivotButton="0" quotePrefix="0" xfId="0"/>
    <xf numFmtId="164" fontId="5" fillId="7" borderId="1" applyAlignment="1" pivotButton="0" quotePrefix="0" xfId="0">
      <alignment horizontal="right"/>
    </xf>
    <xf numFmtId="0" fontId="5" fillId="0" borderId="2" applyAlignment="1" pivotButton="0" quotePrefix="0" xfId="0">
      <alignment horizontal="center"/>
    </xf>
    <xf numFmtId="3" fontId="5" fillId="0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106" customWidth="1" min="1" max="1"/>
    <col width="10" customWidth="1" min="2" max="2"/>
    <col width="16" customWidth="1" min="3" max="3"/>
    <col width="81" customWidth="1" min="4" max="4"/>
  </cols>
  <sheetData>
    <row r="1">
      <c r="A1" s="1" t="inlineStr">
        <is>
          <t>PARÁMETROS DE CONFIGURACIÓN FINANCIERA Y TRIBUTARIA</t>
        </is>
      </c>
    </row>
    <row r="2">
      <c r="A2" s="2" t="inlineStr">
        <is>
          <t>Variables globales de tasas horarias, impuestos (SUNAT Régimen MYPE), detracciones y pasarelas de pago.</t>
        </is>
      </c>
    </row>
    <row r="3"/>
    <row r="4">
      <c r="A4" s="3" t="inlineStr">
        <is>
          <t>Concepto / Variable</t>
        </is>
      </c>
      <c r="B4" s="3" t="inlineStr">
        <is>
          <t>Valor</t>
        </is>
      </c>
      <c r="C4" s="3" t="inlineStr">
        <is>
          <t>Unidad</t>
        </is>
      </c>
      <c r="D4" s="3" t="inlineStr">
        <is>
          <t>Descripción</t>
        </is>
      </c>
    </row>
    <row r="5">
      <c r="A5" s="4" t="inlineStr">
        <is>
          <t>Tasa Horaria Alberto (Costo MOD)</t>
        </is>
      </c>
      <c r="B5" s="5" t="n">
        <v>93.75</v>
      </c>
      <c r="C5" s="4" t="inlineStr">
        <is>
          <t>PEN/hora</t>
        </is>
      </c>
      <c r="D5" s="4" t="inlineStr">
        <is>
          <t>Tu valor por hora base para estimación interna ($25.00 * 3.75)</t>
        </is>
      </c>
    </row>
    <row r="6">
      <c r="A6" s="6" t="inlineStr">
        <is>
          <t>Tasa Horaria Alberto (Venta)</t>
        </is>
      </c>
      <c r="B6" s="7" t="n">
        <v>150</v>
      </c>
      <c r="C6" s="6" t="inlineStr">
        <is>
          <t>PEN/hora</t>
        </is>
      </c>
      <c r="D6" s="6" t="inlineStr">
        <is>
          <t>Tu valor por hora cobrado para modificaciones/consultoría ($40.00 * 3.75)</t>
        </is>
      </c>
    </row>
    <row r="7">
      <c r="A7" s="4" t="inlineStr">
        <is>
          <t>Tasa Horaria Junior (Costo MOD)</t>
        </is>
      </c>
      <c r="B7" s="5" t="n">
        <v>30</v>
      </c>
      <c r="C7" s="4" t="inlineStr">
        <is>
          <t>PEN/hora</t>
        </is>
      </c>
      <c r="D7" s="4" t="inlineStr">
        <is>
          <t>Tarifa horaria para programador junior de apoyo ($8.00 * 3.75)</t>
        </is>
      </c>
    </row>
    <row r="8">
      <c r="A8" s="6" t="inlineStr">
        <is>
          <t>Tasa Horaria QA / Soporte (Costo MOD)</t>
        </is>
      </c>
      <c r="B8" s="7" t="n">
        <v>22.5</v>
      </c>
      <c r="C8" s="6" t="inlineStr">
        <is>
          <t>PEN/hora</t>
        </is>
      </c>
      <c r="D8" s="6" t="inlineStr">
        <is>
          <t>Tarifa horaria para asistente de pruebas de calidad ($6.00 * 3.75)</t>
        </is>
      </c>
    </row>
    <row r="9">
      <c r="A9" s="4" t="inlineStr">
        <is>
          <t>Tipo de Cambio (TC)</t>
        </is>
      </c>
      <c r="B9" s="8" t="n">
        <v>3.75</v>
      </c>
      <c r="C9" s="4" t="inlineStr">
        <is>
          <t>Soles por USD</t>
        </is>
      </c>
      <c r="D9" s="4" t="inlineStr">
        <is>
          <t>Tipo de cambio oficial SUNAT promedio</t>
        </is>
      </c>
    </row>
    <row r="10">
      <c r="A10" s="6" t="inlineStr">
        <is>
          <t>UIT Vigente</t>
        </is>
      </c>
      <c r="B10" s="7" t="n">
        <v>5150</v>
      </c>
      <c r="C10" s="6" t="inlineStr">
        <is>
          <t>Soles (PEN)</t>
        </is>
      </c>
      <c r="D10" s="6" t="inlineStr">
        <is>
          <t>Valor de la Unidad Impositiva Tributaria para el año fiscal</t>
        </is>
      </c>
    </row>
    <row r="11">
      <c r="A11" s="4" t="inlineStr">
        <is>
          <t>Tasa de Detracción (Software)</t>
        </is>
      </c>
      <c r="B11" s="9" t="n">
        <v>0.12</v>
      </c>
      <c r="C11" s="4" t="inlineStr">
        <is>
          <t>Porcentaje</t>
        </is>
      </c>
      <c r="D11" s="4" t="inlineStr">
        <is>
          <t>Detracción obligatoria para servicios de software &gt; S/. 700 (12%) - Código 022</t>
        </is>
      </c>
    </row>
    <row r="12">
      <c r="A12" s="6" t="inlineStr">
        <is>
          <t>Tasa de IGV</t>
        </is>
      </c>
      <c r="B12" s="10" t="n">
        <v>0.18</v>
      </c>
      <c r="C12" s="6" t="inlineStr">
        <is>
          <t>Porcentaje</t>
        </is>
      </c>
      <c r="D12" s="6" t="inlineStr">
        <is>
          <t>Impuesto General a las Ventas aplicable en Perú (18%)</t>
        </is>
      </c>
    </row>
    <row r="13">
      <c r="A13" s="4" t="inlineStr">
        <is>
          <t>RMT Pago a Cuenta Mensual</t>
        </is>
      </c>
      <c r="B13" s="9" t="n">
        <v>0.01</v>
      </c>
      <c r="C13" s="4" t="inlineStr">
        <is>
          <t>Porcentaje</t>
        </is>
      </c>
      <c r="D13" s="4" t="inlineStr">
        <is>
          <t>Régimen MYPE Tributario - Pago a cuenta de Renta mensual (1.0% para &lt; 300 UIT)</t>
        </is>
      </c>
    </row>
    <row r="14">
      <c r="A14" s="6" t="inlineStr">
        <is>
          <t>RMT Provisión Renta Anual</t>
        </is>
      </c>
      <c r="B14" s="10" t="n">
        <v>0.1</v>
      </c>
      <c r="C14" s="6" t="inlineStr">
        <is>
          <t>Porcentaje</t>
        </is>
      </c>
      <c r="D14" s="6" t="inlineStr">
        <is>
          <t>Tasa de regularización anual del RMT (10% hasta 15 UIT de utilidad)</t>
        </is>
      </c>
    </row>
    <row r="15">
      <c r="A15" s="4" t="inlineStr">
        <is>
          <t>PayPal Comisión Fija</t>
        </is>
      </c>
      <c r="B15" s="8" t="n">
        <v>0.3</v>
      </c>
      <c r="C15" s="4" t="inlineStr">
        <is>
          <t>USD</t>
        </is>
      </c>
      <c r="D15" s="4" t="inlineStr">
        <is>
          <t>Tarifa transaccional fija de PayPal por pago internacional</t>
        </is>
      </c>
    </row>
    <row r="16">
      <c r="A16" s="6" t="inlineStr">
        <is>
          <t>PayPal Comisión Porcentual</t>
        </is>
      </c>
      <c r="B16" s="10" t="n">
        <v>0.054</v>
      </c>
      <c r="C16" s="6" t="inlineStr">
        <is>
          <t>Porcentaje</t>
        </is>
      </c>
      <c r="D16" s="6" t="inlineStr">
        <is>
          <t>Comisión porcentual de PayPal por recepción internacional (5.4%)</t>
        </is>
      </c>
    </row>
    <row r="17">
      <c r="A17" s="4" t="inlineStr">
        <is>
          <t>Wise Comisión Porcentual</t>
        </is>
      </c>
      <c r="B17" s="9" t="n">
        <v>0.002</v>
      </c>
      <c r="C17" s="4" t="inlineStr">
        <is>
          <t>Porcentaje</t>
        </is>
      </c>
      <c r="D17" s="4" t="inlineStr">
        <is>
          <t>Comisión porcentual por envío mediante Wise (0.2%)</t>
        </is>
      </c>
    </row>
    <row r="18">
      <c r="A18" s="6" t="inlineStr">
        <is>
          <t>Buffer de Contingencia (PMBOK)</t>
        </is>
      </c>
      <c r="B18" s="10" t="n">
        <v>0.2</v>
      </c>
      <c r="C18" s="6" t="inlineStr">
        <is>
          <t>Porcentaje</t>
        </is>
      </c>
      <c r="D18" s="6" t="inlineStr">
        <is>
          <t>Reserva de contingencia para imprevistos técnicos (20%)</t>
        </is>
      </c>
    </row>
    <row r="19">
      <c r="A19" s="4" t="inlineStr">
        <is>
          <t>Margen Comercial Objetivo</t>
        </is>
      </c>
      <c r="B19" s="9" t="n">
        <v>0.4</v>
      </c>
      <c r="C19" s="4" t="inlineStr">
        <is>
          <t>Porcentaje</t>
        </is>
      </c>
      <c r="D19" s="4" t="inlineStr">
        <is>
          <t>Margen comercial neto esperado sobre la venta sugerida (40%)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17" customWidth="1" min="2" max="2"/>
    <col width="15" customWidth="1" min="3" max="3"/>
    <col width="82" customWidth="1" min="4" max="4"/>
  </cols>
  <sheetData>
    <row r="1">
      <c r="A1" s="1" t="inlineStr">
        <is>
          <t>CAPACIDAD PRODUCTIVA Y PRORRATEO DE GASTOS INDIRECTOS (TDABC)</t>
        </is>
      </c>
    </row>
    <row r="2">
      <c r="A2" s="2" t="inlineStr">
        <is>
          <t>Cálculo de horas facturables reales y costo del overhead mensual amortizado por hora.</t>
        </is>
      </c>
    </row>
    <row r="3"/>
    <row r="4">
      <c r="A4" s="11" t="inlineStr">
        <is>
          <t>1. Capacidad Laboral Facturable (TDABC)</t>
        </is>
      </c>
    </row>
    <row r="5">
      <c r="A5" s="12" t="inlineStr">
        <is>
          <t>Métrica de Capacidad</t>
        </is>
      </c>
      <c r="B5" s="12" t="inlineStr">
        <is>
          <t>Valor</t>
        </is>
      </c>
      <c r="C5" s="12" t="inlineStr">
        <is>
          <t>Unidad</t>
        </is>
      </c>
      <c r="D5" s="12" t="inlineStr">
        <is>
          <t>Lógica / Referencia</t>
        </is>
      </c>
    </row>
    <row r="6">
      <c r="A6" s="6" t="inlineStr">
        <is>
          <t>Días del Año</t>
        </is>
      </c>
      <c r="B6" s="13" t="n">
        <v>365</v>
      </c>
      <c r="C6" s="6" t="inlineStr">
        <is>
          <t>Días</t>
        </is>
      </c>
      <c r="D6" s="6" t="inlineStr">
        <is>
          <t>Año natural</t>
        </is>
      </c>
    </row>
    <row r="7">
      <c r="A7" s="4" t="inlineStr">
        <is>
          <t>Fines de Semana</t>
        </is>
      </c>
      <c r="B7" s="14" t="n">
        <v>104</v>
      </c>
      <c r="C7" s="4" t="inlineStr">
        <is>
          <t>Días</t>
        </is>
      </c>
      <c r="D7" s="4" t="inlineStr">
        <is>
          <t>52 fines de semana al año</t>
        </is>
      </c>
    </row>
    <row r="8">
      <c r="A8" s="6" t="inlineStr">
        <is>
          <t>Feriados Nacionales (Perú)</t>
        </is>
      </c>
      <c r="B8" s="13" t="n">
        <v>16</v>
      </c>
      <c r="C8" s="6" t="inlineStr">
        <is>
          <t>Días</t>
        </is>
      </c>
      <c r="D8" s="6" t="inlineStr">
        <is>
          <t>Feriados oficiales calendario nacional</t>
        </is>
      </c>
    </row>
    <row r="9">
      <c r="A9" s="4" t="inlineStr">
        <is>
          <t>Vacaciones / Descanso anual</t>
        </is>
      </c>
      <c r="B9" s="14" t="n">
        <v>15</v>
      </c>
      <c r="C9" s="4" t="inlineStr">
        <is>
          <t>Días</t>
        </is>
      </c>
      <c r="D9" s="4" t="inlineStr">
        <is>
          <t>Periodo de descanso proyectado para Alberto</t>
        </is>
      </c>
    </row>
    <row r="10">
      <c r="A10" s="6" t="inlineStr">
        <is>
          <t>Días estimados de Enfermedad</t>
        </is>
      </c>
      <c r="B10" s="13" t="n">
        <v>5</v>
      </c>
      <c r="C10" s="6" t="inlineStr">
        <is>
          <t>Días</t>
        </is>
      </c>
      <c r="D10" s="6" t="inlineStr">
        <is>
          <t>Reserva de seguridad por imprevistos médicos</t>
        </is>
      </c>
    </row>
    <row r="11">
      <c r="A11" s="4" t="inlineStr">
        <is>
          <t>Días Laborables Anuales</t>
        </is>
      </c>
      <c r="B11" s="14">
        <f>B6-B7-B8-B9-B10</f>
        <v/>
      </c>
      <c r="C11" s="4" t="inlineStr">
        <is>
          <t>Días</t>
        </is>
      </c>
      <c r="D11" s="4" t="inlineStr">
        <is>
          <t>Días laborables reales disponibles</t>
        </is>
      </c>
    </row>
    <row r="12">
      <c r="A12" s="6" t="inlineStr">
        <is>
          <t>Horas Diarias Laborables</t>
        </is>
      </c>
      <c r="B12" s="13" t="n">
        <v>8</v>
      </c>
      <c r="C12" s="6" t="inlineStr">
        <is>
          <t>Horas</t>
        </is>
      </c>
      <c r="D12" s="6" t="inlineStr">
        <is>
          <t>Jornada estándar</t>
        </is>
      </c>
    </row>
    <row r="13">
      <c r="A13" s="4" t="inlineStr">
        <is>
          <t>Tasa de Utilización Facturable</t>
        </is>
      </c>
      <c r="B13" s="9" t="n">
        <v>0.6</v>
      </c>
      <c r="C13" s="4" t="inlineStr">
        <is>
          <t>Porcentaje</t>
        </is>
      </c>
      <c r="D13" s="4" t="inlineStr">
        <is>
          <t>Porcentaje de tiempo dedicado a producir código facturable (60%)</t>
        </is>
      </c>
    </row>
    <row r="14">
      <c r="A14" s="6" t="inlineStr">
        <is>
          <t>Horas Facturables Anuales</t>
        </is>
      </c>
      <c r="B14" s="13">
        <f>B11*B12*B13</f>
        <v/>
      </c>
      <c r="C14" s="6" t="inlineStr">
        <is>
          <t>Horas</t>
        </is>
      </c>
      <c r="D14" s="6" t="inlineStr">
        <is>
          <t>Horas útiles para proyectos facturables al año</t>
        </is>
      </c>
    </row>
    <row r="15">
      <c r="A15" s="4" t="inlineStr">
        <is>
          <t>Horas Facturables Mensuales</t>
        </is>
      </c>
      <c r="B15" s="14">
        <f>B14/12</f>
        <v/>
      </c>
      <c r="C15" s="4" t="inlineStr">
        <is>
          <t>Horas</t>
        </is>
      </c>
      <c r="D15" s="4" t="inlineStr">
        <is>
          <t>Capacidad mensual real facturable promedio (90 horas)</t>
        </is>
      </c>
    </row>
    <row r="16"/>
    <row r="17">
      <c r="A17" s="11" t="inlineStr">
        <is>
          <t>2. Estructura de Gastos Fijos y Amortización Mensual (Soles PEN)</t>
        </is>
      </c>
    </row>
    <row r="18">
      <c r="A18" s="12" t="inlineStr">
        <is>
          <t>Concepto / Gasto Fijo</t>
        </is>
      </c>
      <c r="B18" s="12" t="inlineStr">
        <is>
          <t>Costo Mensual</t>
        </is>
      </c>
      <c r="C18" s="12" t="inlineStr">
        <is>
          <t>Unidad</t>
        </is>
      </c>
      <c r="D18" s="12" t="inlineStr">
        <is>
          <t>Detalle de Prorrateo / Causalidad SUNAT</t>
        </is>
      </c>
    </row>
    <row r="19">
      <c r="A19" s="4" t="inlineStr">
        <is>
          <t>VPS de Desarrollo (Hetzner Cloud)</t>
        </is>
      </c>
      <c r="B19" s="5" t="n">
        <v>225</v>
      </c>
      <c r="C19" s="4" t="inlineStr">
        <is>
          <t>S/. / mes</t>
        </is>
      </c>
      <c r="D19" s="4" t="inlineStr">
        <is>
          <t>Servidor de staging e integraciones propias ($60.00 USD)</t>
        </is>
      </c>
    </row>
    <row r="20">
      <c r="A20" s="6" t="inlineStr">
        <is>
          <t>ChatGPT Plus / Claude Pro (Suscripción IA)</t>
        </is>
      </c>
      <c r="B20" s="7" t="n">
        <v>75</v>
      </c>
      <c r="C20" s="6" t="inlineStr">
        <is>
          <t>S/. / mes</t>
        </is>
      </c>
      <c r="D20" s="6" t="inlineStr">
        <is>
          <t>Suscripción para asistencia técnica y código ($20.00 USD)</t>
        </is>
      </c>
    </row>
    <row r="21">
      <c r="A21" s="4" t="inlineStr">
        <is>
          <t>Google Workspace &amp; One (Almacenamiento)</t>
        </is>
      </c>
      <c r="B21" s="5" t="n">
        <v>33.75</v>
      </c>
      <c r="C21" s="4" t="inlineStr">
        <is>
          <t>S/. / mes</t>
        </is>
      </c>
      <c r="D21" s="4" t="inlineStr">
        <is>
          <t>Correo corporativo y almacenamiento Drive ($9.00 USD)</t>
        </is>
      </c>
    </row>
    <row r="22">
      <c r="A22" s="6" t="inlineStr">
        <is>
          <t>Asesoría Contable / Contador local</t>
        </is>
      </c>
      <c r="B22" s="7" t="n">
        <v>375</v>
      </c>
      <c r="C22" s="6" t="inlineStr">
        <is>
          <t>S/. / mes</t>
        </is>
      </c>
      <c r="D22" s="6" t="inlineStr">
        <is>
          <t>Servicios contables mensuales para la declaración RUC 10</t>
        </is>
      </c>
    </row>
    <row r="23">
      <c r="A23" s="4" t="inlineStr">
        <is>
          <t>Servicios del Hogar (Prorrateo 50% internet/luz)</t>
        </is>
      </c>
      <c r="B23" s="5" t="n">
        <v>140</v>
      </c>
      <c r="C23" s="4" t="inlineStr">
        <is>
          <t>S/. / mes</t>
        </is>
      </c>
      <c r="D23" s="4" t="inlineStr">
        <is>
          <t>Deducción de luz (S/. 40), agua (S/. 30), internet (S/. 70) por oficina en casa</t>
        </is>
      </c>
    </row>
    <row r="24">
      <c r="A24" s="6" t="inlineStr">
        <is>
          <t>Depreciación Laptop de Desarrollo (25% SUNAT)</t>
        </is>
      </c>
      <c r="B24" s="7" t="n">
        <v>75</v>
      </c>
      <c r="C24" s="6" t="inlineStr">
        <is>
          <t>S/. / mes</t>
        </is>
      </c>
      <c r="D24" s="6" t="inlineStr">
        <is>
          <t>Laptop de S/. 3,600 depreciada linealmente a 4 años contables</t>
        </is>
      </c>
    </row>
    <row r="25">
      <c r="A25" s="4" t="inlineStr">
        <is>
          <t>Fondo de Ahorro para Laptop (Financiero)</t>
        </is>
      </c>
      <c r="B25" s="5" t="n">
        <v>75</v>
      </c>
      <c r="C25" s="4" t="inlineStr">
        <is>
          <t>S/. / mes</t>
        </is>
      </c>
      <c r="D25" s="4" t="inlineStr">
        <is>
          <t>Diferencial de fondo líquido para renovar equipo en 2 años reales</t>
        </is>
      </c>
    </row>
    <row r="26">
      <c r="A26" s="15" t="inlineStr">
        <is>
          <t>Total Overhead Mensual (Gastos Generales)</t>
        </is>
      </c>
      <c r="B26" s="16">
        <f>SUM(B19:B25)</f>
        <v/>
      </c>
      <c r="C26" s="15" t="inlineStr">
        <is>
          <t>S/. / mes</t>
        </is>
      </c>
      <c r="D26" s="15" t="inlineStr">
        <is>
          <t>Total costo indirecto a absorber por tus proyectos</t>
        </is>
      </c>
    </row>
    <row r="27">
      <c r="A27" s="15" t="inlineStr">
        <is>
          <t>Tasa de Absorción de Costos Indirectos (TACI)</t>
        </is>
      </c>
      <c r="B27" s="16">
        <f>B26/B15</f>
        <v/>
      </c>
      <c r="C27" s="15" t="inlineStr">
        <is>
          <t>S/. por hora</t>
        </is>
      </c>
      <c r="D27" s="15" t="inlineStr">
        <is>
          <t>Costo indirecto por cada hora de desarrollo a facturar (Overhead/Horas)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1" workbookViewId="0">
      <selection activeCell="A1" sqref="A1"/>
    </sheetView>
  </sheetViews>
  <sheetFormatPr baseColWidth="8" defaultRowHeight="15"/>
  <cols>
    <col width="147" customWidth="1" min="1" max="1"/>
    <col width="31" customWidth="1" min="2" max="2"/>
    <col width="51" customWidth="1" min="3" max="3"/>
    <col width="75" customWidth="1" min="4" max="4"/>
    <col width="10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COTIZADOR INTERACTIVO BASADO EN TAREAS (WBS / EDT)</t>
        </is>
      </c>
    </row>
    <row r="2">
      <c r="A2" s="2" t="inlineStr">
        <is>
          <t>Escribe tus tareas de WBS, selecciona el rol (Alberto, Junior, QA) en la columna D y define las horas. Todo se calculará con fórmulas dinámicas.</t>
        </is>
      </c>
    </row>
    <row r="3"/>
    <row r="4">
      <c r="A4" s="11" t="inlineStr">
        <is>
          <t>1. ESTRUCTURA DE DESGLOSE DEL TRABAJO (WBS)</t>
        </is>
      </c>
    </row>
    <row r="5">
      <c r="A5" s="12" t="inlineStr">
        <is>
          <t>ID</t>
        </is>
      </c>
      <c r="B5" s="12" t="inlineStr">
        <is>
          <t>Entregable / Fase</t>
        </is>
      </c>
      <c r="C5" s="12" t="inlineStr">
        <is>
          <t>Actividad del Software / IA</t>
        </is>
      </c>
      <c r="D5" s="12" t="inlineStr">
        <is>
          <t>Rol Responsable</t>
        </is>
      </c>
      <c r="E5" s="12" t="inlineStr">
        <is>
          <t>Horas</t>
        </is>
      </c>
      <c r="F5" s="12" t="inlineStr">
        <is>
          <t>Costo MOD/h</t>
        </is>
      </c>
      <c r="G5" s="12" t="inlineStr">
        <is>
          <t>Total MOD</t>
        </is>
      </c>
      <c r="H5" s="12" t="inlineStr">
        <is>
          <t>Tasa TACI</t>
        </is>
      </c>
      <c r="I5" s="12" t="inlineStr">
        <is>
          <t>Overhead CIF</t>
        </is>
      </c>
    </row>
    <row r="6">
      <c r="A6" s="17" t="inlineStr">
        <is>
          <t>1</t>
        </is>
      </c>
      <c r="B6" s="6" t="inlineStr">
        <is>
          <t>Levantamiento y Diseño</t>
        </is>
      </c>
      <c r="C6" s="6" t="inlineStr">
        <is>
          <t>Reuniones de arquitectura y mockup UI/UX inicial</t>
        </is>
      </c>
      <c r="D6" s="18" t="inlineStr">
        <is>
          <t>Alberto</t>
        </is>
      </c>
      <c r="E6" s="19" t="n">
        <v>6</v>
      </c>
      <c r="F6" s="20">
        <f>IF(D6="Alberto", Configuración!$B$5, IF(D6="Junior", Configuración!$B$7, IF(D6="QA", Configuración!$B$8, 0)))</f>
        <v/>
      </c>
      <c r="G6" s="7">
        <f>E6*F6</f>
        <v/>
      </c>
      <c r="H6" s="20">
        <f>'Overhead y Capacidad'!$B$27</f>
        <v/>
      </c>
      <c r="I6" s="7">
        <f>E6*H6</f>
        <v/>
      </c>
    </row>
    <row r="7">
      <c r="A7" s="21" t="inlineStr">
        <is>
          <t>2</t>
        </is>
      </c>
      <c r="B7" s="4" t="inlineStr">
        <is>
          <t>Desarrollo Frontend SPA</t>
        </is>
      </c>
      <c r="C7" s="4" t="inlineStr">
        <is>
          <t>Maquetación de pantallas en React/TS</t>
        </is>
      </c>
      <c r="D7" s="18" t="inlineStr">
        <is>
          <t>Junior</t>
        </is>
      </c>
      <c r="E7" s="19" t="n">
        <v>15</v>
      </c>
      <c r="F7" s="22">
        <f>IF(D7="Alberto", Configuración!$B$5, IF(D7="Junior", Configuración!$B$7, IF(D7="QA", Configuración!$B$8, 0)))</f>
        <v/>
      </c>
      <c r="G7" s="5">
        <f>E7*F7</f>
        <v/>
      </c>
      <c r="H7" s="22">
        <f>'Overhead y Capacidad'!$B$27</f>
        <v/>
      </c>
      <c r="I7" s="5">
        <f>E7*H7</f>
        <v/>
      </c>
    </row>
    <row r="8">
      <c r="A8" s="17" t="inlineStr">
        <is>
          <t>3</t>
        </is>
      </c>
      <c r="B8" s="6" t="inlineStr">
        <is>
          <t>Integración de Base de Datos</t>
        </is>
      </c>
      <c r="C8" s="6" t="inlineStr">
        <is>
          <t>Creación de esquemas Postgres/MongoDB</t>
        </is>
      </c>
      <c r="D8" s="18" t="inlineStr">
        <is>
          <t>Junior</t>
        </is>
      </c>
      <c r="E8" s="19" t="n">
        <v>8</v>
      </c>
      <c r="F8" s="20">
        <f>IF(D8="Alberto", Configuración!$B$5, IF(D8="Junior", Configuración!$B$7, IF(D8="QA", Configuración!$B$8, 0)))</f>
        <v/>
      </c>
      <c r="G8" s="7">
        <f>E8*F8</f>
        <v/>
      </c>
      <c r="H8" s="20">
        <f>'Overhead y Capacidad'!$B$27</f>
        <v/>
      </c>
      <c r="I8" s="7">
        <f>E8*H8</f>
        <v/>
      </c>
    </row>
    <row r="9">
      <c r="A9" s="21" t="inlineStr">
        <is>
          <t>4</t>
        </is>
      </c>
      <c r="B9" s="4" t="inlineStr">
        <is>
          <t>Desarrollo Backend API</t>
        </is>
      </c>
      <c r="C9" s="4" t="inlineStr">
        <is>
          <t>Orquestación de lógica en Node.js/Python</t>
        </is>
      </c>
      <c r="D9" s="18" t="inlineStr">
        <is>
          <t>Alberto</t>
        </is>
      </c>
      <c r="E9" s="19" t="n">
        <v>10</v>
      </c>
      <c r="F9" s="22">
        <f>IF(D9="Alberto", Configuración!$B$5, IF(D9="Junior", Configuración!$B$7, IF(D9="QA", Configuración!$B$8, 0)))</f>
        <v/>
      </c>
      <c r="G9" s="5">
        <f>E9*F9</f>
        <v/>
      </c>
      <c r="H9" s="22">
        <f>'Overhead y Capacidad'!$B$27</f>
        <v/>
      </c>
      <c r="I9" s="5">
        <f>E9*H9</f>
        <v/>
      </c>
    </row>
    <row r="10">
      <c r="A10" s="17" t="inlineStr">
        <is>
          <t>5</t>
        </is>
      </c>
      <c r="B10" s="6" t="inlineStr">
        <is>
          <t>Integración Silhouette Brain</t>
        </is>
      </c>
      <c r="C10" s="6" t="inlineStr">
        <is>
          <t>Configuración de enjambres en n8n e IA</t>
        </is>
      </c>
      <c r="D10" s="18" t="inlineStr">
        <is>
          <t>Alberto</t>
        </is>
      </c>
      <c r="E10" s="19" t="n">
        <v>12</v>
      </c>
      <c r="F10" s="20">
        <f>IF(D10="Alberto", Configuración!$B$5, IF(D10="Junior", Configuración!$B$7, IF(D10="QA", Configuración!$B$8, 0)))</f>
        <v/>
      </c>
      <c r="G10" s="7">
        <f>E10*F10</f>
        <v/>
      </c>
      <c r="H10" s="20">
        <f>'Overhead y Capacidad'!$B$27</f>
        <v/>
      </c>
      <c r="I10" s="7">
        <f>E10*H10</f>
        <v/>
      </c>
    </row>
    <row r="11">
      <c r="A11" s="21" t="inlineStr">
        <is>
          <t>6</t>
        </is>
      </c>
      <c r="B11" s="4" t="inlineStr">
        <is>
          <t>Conexión WhatsApp API</t>
        </is>
      </c>
      <c r="C11" s="4" t="inlineStr">
        <is>
          <t>Vinculación de webhook Meta Cloud API</t>
        </is>
      </c>
      <c r="D11" s="18" t="inlineStr">
        <is>
          <t>Junior</t>
        </is>
      </c>
      <c r="E11" s="19" t="n">
        <v>8</v>
      </c>
      <c r="F11" s="22">
        <f>IF(D11="Alberto", Configuración!$B$5, IF(D11="Junior", Configuración!$B$7, IF(D11="QA", Configuración!$B$8, 0)))</f>
        <v/>
      </c>
      <c r="G11" s="5">
        <f>E11*F11</f>
        <v/>
      </c>
      <c r="H11" s="22">
        <f>'Overhead y Capacidad'!$B$27</f>
        <v/>
      </c>
      <c r="I11" s="5">
        <f>E11*H11</f>
        <v/>
      </c>
    </row>
    <row r="12">
      <c r="A12" s="17" t="inlineStr">
        <is>
          <t>7</t>
        </is>
      </c>
      <c r="B12" s="6" t="inlineStr">
        <is>
          <t>Pruebas de Calidad (QA)</t>
        </is>
      </c>
      <c r="C12" s="6" t="inlineStr">
        <is>
          <t>Testing de estrés y verificación de prompts</t>
        </is>
      </c>
      <c r="D12" s="18" t="inlineStr">
        <is>
          <t>QA</t>
        </is>
      </c>
      <c r="E12" s="19" t="n">
        <v>10</v>
      </c>
      <c r="F12" s="20">
        <f>IF(D12="Alberto", Configuración!$B$5, IF(D12="Junior", Configuración!$B$7, IF(D12="QA", Configuración!$B$8, 0)))</f>
        <v/>
      </c>
      <c r="G12" s="7">
        <f>E12*F12</f>
        <v/>
      </c>
      <c r="H12" s="20">
        <f>'Overhead y Capacidad'!$B$27</f>
        <v/>
      </c>
      <c r="I12" s="7">
        <f>E12*H12</f>
        <v/>
      </c>
    </row>
    <row r="13">
      <c r="A13" s="21" t="inlineStr">
        <is>
          <t>8</t>
        </is>
      </c>
      <c r="B13" s="4" t="inlineStr">
        <is>
          <t>Despliegue y CI/CD</t>
        </is>
      </c>
      <c r="C13" s="4" t="inlineStr">
        <is>
          <t>Dockerización, pipelines y hosting en VPS</t>
        </is>
      </c>
      <c r="D13" s="18" t="inlineStr">
        <is>
          <t>Alberto</t>
        </is>
      </c>
      <c r="E13" s="19" t="n">
        <v>4</v>
      </c>
      <c r="F13" s="22">
        <f>IF(D13="Alberto", Configuración!$B$5, IF(D13="Junior", Configuración!$B$7, IF(D13="QA", Configuración!$B$8, 0)))</f>
        <v/>
      </c>
      <c r="G13" s="5">
        <f>E13*F13</f>
        <v/>
      </c>
      <c r="H13" s="22">
        <f>'Overhead y Capacidad'!$B$27</f>
        <v/>
      </c>
      <c r="I13" s="5">
        <f>E13*H13</f>
        <v/>
      </c>
    </row>
    <row r="14">
      <c r="A14" s="17" t="inlineStr">
        <is>
          <t>9</t>
        </is>
      </c>
      <c r="B14" s="6" t="inlineStr">
        <is>
          <t>Documentación Técnica</t>
        </is>
      </c>
      <c r="C14" s="6" t="inlineStr">
        <is>
          <t>Manual operativo y video Loom</t>
        </is>
      </c>
      <c r="D14" s="18" t="inlineStr">
        <is>
          <t>Junior</t>
        </is>
      </c>
      <c r="E14" s="19" t="n">
        <v>4</v>
      </c>
      <c r="F14" s="20">
        <f>IF(D14="Alberto", Configuración!$B$5, IF(D14="Junior", Configuración!$B$7, IF(D14="QA", Configuración!$B$8, 0)))</f>
        <v/>
      </c>
      <c r="G14" s="7">
        <f>E14*F14</f>
        <v/>
      </c>
      <c r="H14" s="20">
        <f>'Overhead y Capacidad'!$B$27</f>
        <v/>
      </c>
      <c r="I14" s="7">
        <f>E14*H14</f>
        <v/>
      </c>
    </row>
    <row r="15">
      <c r="A15" s="21" t="inlineStr">
        <is>
          <t>10</t>
        </is>
      </c>
      <c r="B15" s="4" t="inlineStr">
        <is>
          <t>Soporte Inicial</t>
        </is>
      </c>
      <c r="C15" s="4" t="inlineStr">
        <is>
          <t>Atención a bugs durante la puesta en marcha</t>
        </is>
      </c>
      <c r="D15" s="18" t="inlineStr">
        <is>
          <t>QA</t>
        </is>
      </c>
      <c r="E15" s="19" t="n">
        <v>5</v>
      </c>
      <c r="F15" s="22">
        <f>IF(D15="Alberto", Configuración!$B$5, IF(D15="Junior", Configuración!$B$7, IF(D15="QA", Configuración!$B$8, 0)))</f>
        <v/>
      </c>
      <c r="G15" s="5">
        <f>E15*F15</f>
        <v/>
      </c>
      <c r="H15" s="22">
        <f>'Overhead y Capacidad'!$B$27</f>
        <v/>
      </c>
      <c r="I15" s="5">
        <f>E15*H15</f>
        <v/>
      </c>
    </row>
    <row r="16"/>
    <row r="17">
      <c r="A17" s="11" t="inlineStr">
        <is>
          <t>2. CONSOLIDADO DE COSTOS (Resumen Técnico)</t>
        </is>
      </c>
    </row>
    <row r="18">
      <c r="A18" s="12" t="inlineStr">
        <is>
          <t>Elemento de Costo</t>
        </is>
      </c>
      <c r="B18" s="12" t="inlineStr">
        <is>
          <t>Valor Calculado</t>
        </is>
      </c>
      <c r="C18" s="12" t="inlineStr">
        <is>
          <t>Unidad</t>
        </is>
      </c>
      <c r="D18" s="12" t="inlineStr">
        <is>
          <t>Referencia / Lógica</t>
        </is>
      </c>
    </row>
    <row r="19">
      <c r="A19" s="23" t="inlineStr">
        <is>
          <t>Total Horas de Ingeniería del WBS</t>
        </is>
      </c>
      <c r="B19" s="24">
        <f>SUM(E6:E15)</f>
        <v/>
      </c>
      <c r="C19" s="23" t="inlineStr">
        <is>
          <t>Horas</t>
        </is>
      </c>
      <c r="D19" s="23" t="inlineStr">
        <is>
          <t>Esfuerzo neto estimado de todo el equipo</t>
        </is>
      </c>
    </row>
    <row r="20">
      <c r="A20" s="23" t="inlineStr">
        <is>
          <t>Total Mano de Obra Directa (MOD)</t>
        </is>
      </c>
      <c r="B20" s="25">
        <f>SUM(G6:G15)</f>
        <v/>
      </c>
      <c r="C20" s="23" t="inlineStr">
        <is>
          <t>Soles (PEN)</t>
        </is>
      </c>
      <c r="D20" s="23" t="inlineStr">
        <is>
          <t>Costo directo por desarrollo de software</t>
        </is>
      </c>
    </row>
    <row r="21">
      <c r="A21" s="23" t="inlineStr">
        <is>
          <t>Total Costo Indirecto de Operación (CIF)</t>
        </is>
      </c>
      <c r="B21" s="25">
        <f>SUM(I6:I15)</f>
        <v/>
      </c>
      <c r="C21" s="23" t="inlineStr">
        <is>
          <t>Soles (PEN)</t>
        </is>
      </c>
      <c r="D21" s="23" t="inlineStr">
        <is>
          <t>Financiamiento prorrateado del overhead mensual (TACI × horas)</t>
        </is>
      </c>
    </row>
    <row r="22">
      <c r="A22" s="23" t="inlineStr">
        <is>
          <t>Materiales e Infraestructura Directos (MID)</t>
        </is>
      </c>
      <c r="B22" s="26" t="n">
        <v>18.75</v>
      </c>
      <c r="C22" s="23" t="inlineStr">
        <is>
          <t>Soles (PEN)</t>
        </is>
      </c>
      <c r="D22" s="23" t="inlineStr">
        <is>
          <t>Tokens de IA para pruebas y licencias directas (Celda amarilla editable)</t>
        </is>
      </c>
    </row>
    <row r="23">
      <c r="A23" s="23" t="inlineStr">
        <is>
          <t>Costo Técnico de Producción</t>
        </is>
      </c>
      <c r="B23" s="25">
        <f>B20+B21+B22</f>
        <v/>
      </c>
      <c r="C23" s="23" t="inlineStr">
        <is>
          <t>Soles (PEN)</t>
        </is>
      </c>
      <c r="D23" s="23" t="inlineStr">
        <is>
          <t>MOD + CIF + MID</t>
        </is>
      </c>
    </row>
    <row r="24">
      <c r="A24" s="23" t="inlineStr">
        <is>
          <t>Reserva de Contingencia (20% PMBOK)</t>
        </is>
      </c>
      <c r="B24" s="25">
        <f>B23*Configuración!$B$18</f>
        <v/>
      </c>
      <c r="C24" s="23" t="inlineStr">
        <is>
          <t>Soles (PEN)</t>
        </is>
      </c>
      <c r="D24" s="23" t="inlineStr">
        <is>
          <t>Fondo de contingencia para mitigar riesgos y alucinaciones</t>
        </is>
      </c>
    </row>
    <row r="25">
      <c r="A25" s="27" t="inlineStr">
        <is>
          <t>Costo Unitario Total (Break-Even Real)</t>
        </is>
      </c>
      <c r="B25" s="7">
        <f>B23+B24</f>
        <v/>
      </c>
      <c r="C25" s="27" t="inlineStr">
        <is>
          <t>Soles (PEN)</t>
        </is>
      </c>
      <c r="D25" s="27" t="inlineStr">
        <is>
          <t>Costo total de ruptura. Cobrar menos es pérdida líquida</t>
        </is>
      </c>
    </row>
    <row r="26">
      <c r="A26" s="15" t="inlineStr">
        <is>
          <t>Precio Mínimo de Seguridad (Margen 20%)</t>
        </is>
      </c>
      <c r="B26" s="16">
        <f>B25/(1-0.20)</f>
        <v/>
      </c>
      <c r="C26" s="15" t="inlineStr">
        <is>
          <t>Soles (PEN)</t>
        </is>
      </c>
      <c r="D26" s="15" t="inlineStr">
        <is>
          <t>Costo Unitario / 0.8 (Garantiza 20% utilidad neta)</t>
        </is>
      </c>
    </row>
    <row r="27">
      <c r="A27" s="15" t="inlineStr">
        <is>
          <t>Precio de Venta Sugerido (Margen 40%)</t>
        </is>
      </c>
      <c r="B27" s="16">
        <f>B25/(1-Configuración!$B$19)</f>
        <v/>
      </c>
      <c r="C27" s="15" t="inlineStr">
        <is>
          <t>Soles (PEN)</t>
        </is>
      </c>
      <c r="D27" s="15" t="inlineStr">
        <is>
          <t>Costo Unitario / 0.6 (Margen objetivo del 40%)</t>
        </is>
      </c>
    </row>
    <row r="28"/>
    <row r="29">
      <c r="A29" s="11" t="inlineStr">
        <is>
          <t>3. LIQUIDACIÓN COMERCIAL, IMPUESTOS Y PASARELAS</t>
        </is>
      </c>
    </row>
    <row r="30">
      <c r="A30" s="12" t="inlineStr">
        <is>
          <t>Elemento de Costo</t>
        </is>
      </c>
      <c r="B30" s="12" t="inlineStr">
        <is>
          <t>Valor Calculado</t>
        </is>
      </c>
      <c r="C30" s="12" t="inlineStr">
        <is>
          <t>Unidad</t>
        </is>
      </c>
      <c r="D30" s="12" t="inlineStr">
        <is>
          <t>Referencia / Lógica</t>
        </is>
      </c>
    </row>
    <row r="31">
      <c r="A31" s="23" t="inlineStr">
        <is>
          <t>Ubicación del Cliente (PE = Perú / INT = Internacional)</t>
        </is>
      </c>
      <c r="B31" s="18" t="inlineStr">
        <is>
          <t>PE</t>
        </is>
      </c>
      <c r="C31" s="23" t="inlineStr">
        <is>
          <t>Código</t>
        </is>
      </c>
      <c r="D31" s="23" t="inlineStr">
        <is>
          <t>Celda amarilla editable (PE / INT)</t>
        </is>
      </c>
    </row>
    <row r="32">
      <c r="A32" s="23" t="inlineStr">
        <is>
          <t>Canal de Pago (PP = PayPal / WB = Wise / TR = Local)</t>
        </is>
      </c>
      <c r="B32" s="18" t="inlineStr">
        <is>
          <t>PP</t>
        </is>
      </c>
      <c r="C32" s="23" t="inlineStr">
        <is>
          <t>Código</t>
        </is>
      </c>
      <c r="D32" s="23" t="inlineStr">
        <is>
          <t>Celda amarilla editable (PP / WB / TR)</t>
        </is>
      </c>
    </row>
    <row r="33">
      <c r="A33" s="27" t="inlineStr">
        <is>
          <t>Precio Sugerido con Gross-Up</t>
        </is>
      </c>
      <c r="B33" s="7">
        <f>IF(B32="PP", (B27+Configuración!$B$15*Configuración!$B$9)/(1-Configuración!$B$16), IF(B32="WB", B27/(1-Configuración!$B$17), B27))</f>
        <v/>
      </c>
      <c r="C33" s="27" t="inlineStr">
        <is>
          <t>Soles (PEN)</t>
        </is>
      </c>
      <c r="D33" s="27" t="inlineStr">
        <is>
          <t>Amortiza las comisiones financieras de retiro internacional</t>
        </is>
      </c>
    </row>
    <row r="34">
      <c r="A34" s="23" t="inlineStr">
        <is>
          <t>Tasa de IGV</t>
        </is>
      </c>
      <c r="B34" s="28">
        <f>IF(B31="PE", Configuración!$B$12, 0.0)</f>
        <v/>
      </c>
      <c r="C34" s="23" t="inlineStr">
        <is>
          <t>Porcentaje</t>
        </is>
      </c>
      <c r="D34" s="23" t="inlineStr">
        <is>
          <t>18% si es de Perú, 0% si es exportación moderna</t>
        </is>
      </c>
    </row>
    <row r="35">
      <c r="A35" s="23" t="inlineStr">
        <is>
          <t>Monto de IGV</t>
        </is>
      </c>
      <c r="B35" s="25">
        <f>B33*B34</f>
        <v/>
      </c>
      <c r="C35" s="23" t="inlineStr">
        <is>
          <t>Soles (PEN)</t>
        </is>
      </c>
      <c r="D35" s="23" t="inlineStr">
        <is>
          <t>IGV local cobrado al cliente</t>
        </is>
      </c>
    </row>
    <row r="36">
      <c r="A36" s="27" t="inlineStr">
        <is>
          <t>Total Facturado Proforma (Con IGV)</t>
        </is>
      </c>
      <c r="B36" s="7">
        <f>B33+B35</f>
        <v/>
      </c>
      <c r="C36" s="27" t="inlineStr">
        <is>
          <t>Soles (PEN)</t>
        </is>
      </c>
      <c r="D36" s="27" t="inlineStr">
        <is>
          <t>Total final a facturar en el comprobante electrónico</t>
        </is>
      </c>
    </row>
    <row r="37">
      <c r="A37" s="23" t="inlineStr">
        <is>
          <t>Detracción Retenida (12% SPOT)</t>
        </is>
      </c>
      <c r="B37" s="25">
        <f>IF(AND(B31="PE", B36&gt;700), B36*Configuración!$B$11, 0.0)</f>
        <v/>
      </c>
      <c r="C37" s="23" t="inlineStr">
        <is>
          <t>Soles (PEN)</t>
        </is>
      </c>
      <c r="D37" s="23" t="inlineStr">
        <is>
          <t>12% retenido por cliente local y depositado en Banco de la Nación</t>
        </is>
      </c>
    </row>
    <row r="38">
      <c r="A38" s="23" t="inlineStr">
        <is>
          <t>Pago a Cuenta RMT Mensual (1% SUNAT)</t>
        </is>
      </c>
      <c r="B38" s="25">
        <f>B33*Configuración!$B$13</f>
        <v/>
      </c>
      <c r="C38" s="23" t="inlineStr">
        <is>
          <t>Soles (PEN)</t>
        </is>
      </c>
      <c r="D38" s="23" t="inlineStr">
        <is>
          <t>Impuesto mensual a pagar a cuenta (Régimen MYPE)</t>
        </is>
      </c>
    </row>
    <row r="39">
      <c r="A39" s="23" t="inlineStr">
        <is>
          <t>Provisión RMT Impuesto Anual (10% RMT)</t>
        </is>
      </c>
      <c r="B39" s="25">
        <f>IF((B33-B25)&gt;0, (B33-B25)*Configuración!$B$14, 0.0)</f>
        <v/>
      </c>
      <c r="C39" s="23" t="inlineStr">
        <is>
          <t>Soles (PEN)</t>
        </is>
      </c>
      <c r="D39" s="23" t="inlineStr">
        <is>
          <t>Reserva del 10% sobre la utilidad para la declaración anual</t>
        </is>
      </c>
    </row>
    <row r="40">
      <c r="A40" s="23" t="inlineStr">
        <is>
          <t>Comisión Pasarela / Fricción (PayPal/Ligo)</t>
        </is>
      </c>
      <c r="B40" s="25">
        <f>B33-B27</f>
        <v/>
      </c>
      <c r="C40" s="23" t="inlineStr">
        <is>
          <t>Soles (PEN)</t>
        </is>
      </c>
      <c r="D40" s="23" t="inlineStr">
        <is>
          <t>Costo real descontado por pasarelas financieras</t>
        </is>
      </c>
    </row>
    <row r="41">
      <c r="A41" s="29" t="inlineStr">
        <is>
          <t>Monto Neto Disponible (Flujo de Caja Real)</t>
        </is>
      </c>
      <c r="B41" s="30">
        <f>B36-B37-B38-B39-B40</f>
        <v/>
      </c>
      <c r="C41" s="29" t="inlineStr">
        <is>
          <t>Soles (PEN)</t>
        </is>
      </c>
      <c r="D41" s="29" t="inlineStr">
        <is>
          <t>Liquidez neta disponible tras pagar impuestos y pasarelas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1" workbookViewId="0">
      <selection activeCell="A1" sqref="A1"/>
    </sheetView>
  </sheetViews>
  <sheetFormatPr baseColWidth="8" defaultRowHeight="15"/>
  <cols>
    <col width="86" customWidth="1" min="1" max="1"/>
    <col width="33" customWidth="1" min="2" max="2"/>
    <col width="22" customWidth="1" min="3" max="3"/>
    <col width="14" customWidth="1" min="4" max="4"/>
    <col width="13" customWidth="1" min="5" max="5"/>
    <col width="10" customWidth="1" min="6" max="6"/>
    <col width="19" customWidth="1" min="7" max="7"/>
    <col width="17" customWidth="1" min="8" max="8"/>
    <col width="17" customWidth="1" min="9" max="9"/>
    <col width="21" customWidth="1" min="10" max="10"/>
    <col width="19" customWidth="1" min="11" max="11"/>
    <col width="21" customWidth="1" min="12" max="12"/>
    <col width="23" customWidth="1" min="13" max="13"/>
  </cols>
  <sheetData>
    <row r="1">
      <c r="A1" s="1" t="inlineStr">
        <is>
          <t>ANÁLISIS DE COSTOS UNITARIOS (ACU) - SERVICIOS BASE</t>
        </is>
      </c>
    </row>
    <row r="2">
      <c r="A2" s="2" t="inlineStr">
        <is>
          <t>Cálculos estructurados mediante el modelo TDABC para el portafolio de 13 servicios.</t>
        </is>
      </c>
    </row>
    <row r="3"/>
    <row r="4">
      <c r="A4" s="31" t="inlineStr">
        <is>
          <t>ID</t>
        </is>
      </c>
      <c r="B4" s="31" t="inlineStr">
        <is>
          <t>Nombre del Servicio</t>
        </is>
      </c>
      <c r="C4" s="31" t="inlineStr">
        <is>
          <t>Categoría</t>
        </is>
      </c>
      <c r="D4" s="31" t="inlineStr">
        <is>
          <t>Hrs Alberto</t>
        </is>
      </c>
      <c r="E4" s="31" t="inlineStr">
        <is>
          <t>Hrs Junior</t>
        </is>
      </c>
      <c r="F4" s="31" t="inlineStr">
        <is>
          <t>Hrs QA</t>
        </is>
      </c>
      <c r="G4" s="31" t="inlineStr">
        <is>
          <t>Materiales (PEN)</t>
        </is>
      </c>
      <c r="H4" s="31" t="inlineStr">
        <is>
          <t>MOD (PEN)</t>
        </is>
      </c>
      <c r="I4" s="31" t="inlineStr">
        <is>
          <t>MID (PEN)</t>
        </is>
      </c>
      <c r="J4" s="31" t="inlineStr">
        <is>
          <t>CIF/Overhead (PEN)</t>
        </is>
      </c>
      <c r="K4" s="31" t="inlineStr">
        <is>
          <t>Break-Even (PEN)</t>
        </is>
      </c>
      <c r="L4" s="31" t="inlineStr">
        <is>
          <t>P. Seguridad (PEN)</t>
        </is>
      </c>
      <c r="M4" s="31" t="inlineStr">
        <is>
          <t>Venta Sugerida (PEN)</t>
        </is>
      </c>
    </row>
    <row r="5">
      <c r="A5" s="23" t="inlineStr">
        <is>
          <t>C.1</t>
        </is>
      </c>
      <c r="B5" s="23" t="inlineStr">
        <is>
          <t>Migración Zapier a n8n</t>
        </is>
      </c>
      <c r="C5" s="23" t="inlineStr">
        <is>
          <t>Automatización</t>
        </is>
      </c>
      <c r="D5" s="32" t="n">
        <v>3</v>
      </c>
      <c r="E5" s="32" t="n">
        <v>6</v>
      </c>
      <c r="F5" s="32" t="n">
        <v>0</v>
      </c>
      <c r="G5" s="33" t="n">
        <v>20.74</v>
      </c>
      <c r="H5" s="25">
        <f>(D5*Configuración!$B$5)+(E5*Configuración!$B$7)+(F5*Configuración!$B$8)</f>
        <v/>
      </c>
      <c r="I5" s="25">
        <f>G5</f>
        <v/>
      </c>
      <c r="J5" s="25">
        <f>(D5+E5+F5)*'Overhead y Capacidad'!$B$27</f>
        <v/>
      </c>
      <c r="K5" s="7">
        <f>(H5+I5+J5)*(1+0.085)</f>
        <v/>
      </c>
      <c r="L5" s="16">
        <f>K5/(1-Configuración!$B$18)</f>
        <v/>
      </c>
      <c r="M5" s="16">
        <f>K5/(1-Configuración!$B$19)</f>
        <v/>
      </c>
    </row>
    <row r="6">
      <c r="A6" s="23" t="inlineStr">
        <is>
          <t>C.2.A</t>
        </is>
      </c>
      <c r="B6" s="23" t="inlineStr">
        <is>
          <t>Automatización Simple (3 Apps)</t>
        </is>
      </c>
      <c r="C6" s="23" t="inlineStr">
        <is>
          <t>Automatización</t>
        </is>
      </c>
      <c r="D6" s="32" t="n">
        <v>1</v>
      </c>
      <c r="E6" s="32" t="n">
        <v>3</v>
      </c>
      <c r="F6" s="32" t="n">
        <v>0</v>
      </c>
      <c r="G6" s="33" t="n">
        <v>0</v>
      </c>
      <c r="H6" s="25">
        <f>(D6*Configuración!$B$5)+(E6*Configuración!$B$7)+(F6*Configuración!$B$8)</f>
        <v/>
      </c>
      <c r="I6" s="25">
        <f>G6</f>
        <v/>
      </c>
      <c r="J6" s="25">
        <f>(D6+E6+F6)*'Overhead y Capacidad'!$B$27</f>
        <v/>
      </c>
      <c r="K6" s="7">
        <f>(H6+I6+J6)*(1+0.085)</f>
        <v/>
      </c>
      <c r="L6" s="16">
        <f>K6/(1-Configuración!$B$18)</f>
        <v/>
      </c>
      <c r="M6" s="16">
        <f>K6/(1-Configuración!$B$19)</f>
        <v/>
      </c>
    </row>
    <row r="7">
      <c r="A7" s="23" t="inlineStr">
        <is>
          <t>B.1</t>
        </is>
      </c>
      <c r="B7" s="23" t="inlineStr">
        <is>
          <t>Silhouette OS Lead Triage</t>
        </is>
      </c>
      <c r="C7" s="23" t="inlineStr">
        <is>
          <t>Automatización / IA</t>
        </is>
      </c>
      <c r="D7" s="32" t="n">
        <v>10</v>
      </c>
      <c r="E7" s="32" t="n">
        <v>15</v>
      </c>
      <c r="F7" s="32" t="n">
        <v>3</v>
      </c>
      <c r="G7" s="33" t="n">
        <v>95.63</v>
      </c>
      <c r="H7" s="25">
        <f>(D7*Configuración!$B$5)+(E7*Configuración!$B$7)+(F7*Configuración!$B$8)</f>
        <v/>
      </c>
      <c r="I7" s="25">
        <f>G7</f>
        <v/>
      </c>
      <c r="J7" s="25">
        <f>(D7+E7+F7)*'Overhead y Capacidad'!$B$27</f>
        <v/>
      </c>
      <c r="K7" s="7">
        <f>(H7+I7+J7)*(1+0.085)</f>
        <v/>
      </c>
      <c r="L7" s="16">
        <f>K7/(1-Configuración!$B$18)</f>
        <v/>
      </c>
      <c r="M7" s="16">
        <f>K7/(1-Configuración!$B$19)</f>
        <v/>
      </c>
    </row>
    <row r="8">
      <c r="A8" s="23" t="inlineStr">
        <is>
          <t>A.1</t>
        </is>
      </c>
      <c r="B8" s="23" t="inlineStr">
        <is>
          <t>LangGraph Swarms &amp; Memory</t>
        </is>
      </c>
      <c r="C8" s="23" t="inlineStr">
        <is>
          <t>IA / Deep Tech</t>
        </is>
      </c>
      <c r="D8" s="32" t="n">
        <v>25</v>
      </c>
      <c r="E8" s="32" t="n">
        <v>25</v>
      </c>
      <c r="F8" s="32" t="n">
        <v>5</v>
      </c>
      <c r="G8" s="33" t="n">
        <v>56.25</v>
      </c>
      <c r="H8" s="25">
        <f>(D8*Configuración!$B$5)+(E8*Configuración!$B$7)+(F8*Configuración!$B$8)</f>
        <v/>
      </c>
      <c r="I8" s="25">
        <f>G8</f>
        <v/>
      </c>
      <c r="J8" s="25">
        <f>(D8+E8+F8)*'Overhead y Capacidad'!$B$27</f>
        <v/>
      </c>
      <c r="K8" s="7">
        <f>(H8+I8+J8)*(1+0.085)</f>
        <v/>
      </c>
      <c r="L8" s="16">
        <f>K8/(1-Configuración!$B$18)</f>
        <v/>
      </c>
      <c r="M8" s="16">
        <f>K8/(1-Configuración!$B$19)</f>
        <v/>
      </c>
    </row>
    <row r="9">
      <c r="A9" s="23" t="inlineStr">
        <is>
          <t>C.2.B</t>
        </is>
      </c>
      <c r="B9" s="23" t="inlineStr">
        <is>
          <t>WordPress Web / LMS / Shop</t>
        </is>
      </c>
      <c r="C9" s="23" t="inlineStr">
        <is>
          <t>Desarrollo Web</t>
        </is>
      </c>
      <c r="D9" s="32" t="n">
        <v>3</v>
      </c>
      <c r="E9" s="32" t="n">
        <v>10</v>
      </c>
      <c r="F9" s="32" t="n">
        <v>1</v>
      </c>
      <c r="G9" s="33" t="n">
        <v>470.63</v>
      </c>
      <c r="H9" s="25">
        <f>(D9*Configuración!$B$5)+(E9*Configuración!$B$7)+(F9*Configuración!$B$8)</f>
        <v/>
      </c>
      <c r="I9" s="25">
        <f>G9</f>
        <v/>
      </c>
      <c r="J9" s="25">
        <f>(D9+E9+F9)*'Overhead y Capacidad'!$B$27</f>
        <v/>
      </c>
      <c r="K9" s="7">
        <f>(H9+I9+J9)*(1+0.085)</f>
        <v/>
      </c>
      <c r="L9" s="16">
        <f>K9/(1-Configuración!$B$18)</f>
        <v/>
      </c>
      <c r="M9" s="16">
        <f>K9/(1-Configuración!$B$19)</f>
        <v/>
      </c>
    </row>
    <row r="10">
      <c r="A10" s="23" t="inlineStr">
        <is>
          <t>C.2.C</t>
        </is>
      </c>
      <c r="B10" s="23" t="inlineStr">
        <is>
          <t>Web Corporativa / Landing</t>
        </is>
      </c>
      <c r="C10" s="23" t="inlineStr">
        <is>
          <t>Desarrollo Web</t>
        </is>
      </c>
      <c r="D10" s="32" t="n">
        <v>2</v>
      </c>
      <c r="E10" s="32" t="n">
        <v>6</v>
      </c>
      <c r="F10" s="32" t="n">
        <v>0</v>
      </c>
      <c r="G10" s="33" t="n">
        <v>150</v>
      </c>
      <c r="H10" s="25">
        <f>(D10*Configuración!$B$5)+(E10*Configuración!$B$7)+(F10*Configuración!$B$8)</f>
        <v/>
      </c>
      <c r="I10" s="25">
        <f>G10</f>
        <v/>
      </c>
      <c r="J10" s="25">
        <f>(D10+E10+F10)*'Overhead y Capacidad'!$B$27</f>
        <v/>
      </c>
      <c r="K10" s="7">
        <f>(H10+I10+J10)*(1+0.085)</f>
        <v/>
      </c>
      <c r="L10" s="16">
        <f>K10/(1-Configuración!$B$18)</f>
        <v/>
      </c>
      <c r="M10" s="16">
        <f>K10/(1-Configuración!$B$19)</f>
        <v/>
      </c>
    </row>
    <row r="11">
      <c r="A11" s="23" t="inlineStr">
        <is>
          <t>B.2</t>
        </is>
      </c>
      <c r="B11" s="23" t="inlineStr">
        <is>
          <t>App Web React/TS (SPA)</t>
        </is>
      </c>
      <c r="C11" s="23" t="inlineStr">
        <is>
          <t>Desarrollo Web</t>
        </is>
      </c>
      <c r="D11" s="32" t="n">
        <v>10</v>
      </c>
      <c r="E11" s="32" t="n">
        <v>20</v>
      </c>
      <c r="F11" s="32" t="n">
        <v>4</v>
      </c>
      <c r="G11" s="33" t="n">
        <v>76.88</v>
      </c>
      <c r="H11" s="25">
        <f>(D11*Configuración!$B$5)+(E11*Configuración!$B$7)+(F11*Configuración!$B$8)</f>
        <v/>
      </c>
      <c r="I11" s="25">
        <f>G11</f>
        <v/>
      </c>
      <c r="J11" s="25">
        <f>(D11+E11+F11)*'Overhead y Capacidad'!$B$27</f>
        <v/>
      </c>
      <c r="K11" s="7">
        <f>(H11+I11+J11)*(1+0.085)</f>
        <v/>
      </c>
      <c r="L11" s="16">
        <f>K11/(1-Configuración!$B$18)</f>
        <v/>
      </c>
      <c r="M11" s="16">
        <f>K11/(1-Configuración!$B$19)</f>
        <v/>
      </c>
    </row>
    <row r="12">
      <c r="A12" s="23" t="inlineStr">
        <is>
          <t>RET.B</t>
        </is>
      </c>
      <c r="B12" s="23" t="inlineStr">
        <is>
          <t>Mantenimiento Básico (SLA)</t>
        </is>
      </c>
      <c r="C12" s="23" t="inlineStr">
        <is>
          <t>Mantenimiento</t>
        </is>
      </c>
      <c r="D12" s="32" t="n">
        <v>1</v>
      </c>
      <c r="E12" s="32" t="n">
        <v>2</v>
      </c>
      <c r="F12" s="32" t="n">
        <v>0</v>
      </c>
      <c r="G12" s="33" t="n">
        <v>11.25</v>
      </c>
      <c r="H12" s="25">
        <f>(D12*Configuración!$B$5)+(E12*Configuración!$B$7)+(F12*Configuración!$B$8)</f>
        <v/>
      </c>
      <c r="I12" s="25">
        <f>G12</f>
        <v/>
      </c>
      <c r="J12" s="25">
        <f>60.00</f>
        <v/>
      </c>
      <c r="K12" s="7">
        <f>(H12+I12+J12)*(1+0.085)</f>
        <v/>
      </c>
      <c r="L12" s="16">
        <f>K12/(1-Configuración!$B$18)</f>
        <v/>
      </c>
      <c r="M12" s="16">
        <f>K12/(1-Configuración!$B$19)</f>
        <v/>
      </c>
    </row>
    <row r="13">
      <c r="A13" s="23" t="inlineStr">
        <is>
          <t>RET.A</t>
        </is>
      </c>
      <c r="B13" s="23" t="inlineStr">
        <is>
          <t>Mantenimiento IA/SaaS (Adv)</t>
        </is>
      </c>
      <c r="C13" s="23" t="inlineStr">
        <is>
          <t>Mantenimiento</t>
        </is>
      </c>
      <c r="D13" s="32" t="n">
        <v>2</v>
      </c>
      <c r="E13" s="32" t="n">
        <v>3</v>
      </c>
      <c r="F13" s="32" t="n">
        <v>0</v>
      </c>
      <c r="G13" s="33" t="n">
        <v>37.5</v>
      </c>
      <c r="H13" s="25">
        <f>(D13*Configuración!$B$5)+(E13*Configuración!$B$7)+(F13*Configuración!$B$8)</f>
        <v/>
      </c>
      <c r="I13" s="25">
        <f>G13</f>
        <v/>
      </c>
      <c r="J13" s="25">
        <f>120.00</f>
        <v/>
      </c>
      <c r="K13" s="7">
        <f>(H13+I13+J13)*(1+0.085)</f>
        <v/>
      </c>
      <c r="L13" s="16">
        <f>K13/(1-Configuración!$B$18)</f>
        <v/>
      </c>
      <c r="M13" s="16">
        <f>K13/(1-Configuración!$B$19)</f>
        <v/>
      </c>
    </row>
    <row r="14">
      <c r="A14" s="23" t="inlineStr">
        <is>
          <t>A.2</t>
        </is>
      </c>
      <c r="B14" s="23" t="inlineStr">
        <is>
          <t>SaaS Completo Next.js / Stripe</t>
        </is>
      </c>
      <c r="C14" s="23" t="inlineStr">
        <is>
          <t>Software Corp</t>
        </is>
      </c>
      <c r="D14" s="32" t="n">
        <v>25</v>
      </c>
      <c r="E14" s="32" t="n">
        <v>40</v>
      </c>
      <c r="F14" s="32" t="n">
        <v>8</v>
      </c>
      <c r="G14" s="33" t="n">
        <v>206.25</v>
      </c>
      <c r="H14" s="25">
        <f>(D14*Configuración!$B$5)+(E14*Configuración!$B$7)+(F14*Configuración!$B$8)</f>
        <v/>
      </c>
      <c r="I14" s="25">
        <f>G14</f>
        <v/>
      </c>
      <c r="J14" s="25">
        <f>(D14+E14+F14)*'Overhead y Capacidad'!$B$27</f>
        <v/>
      </c>
      <c r="K14" s="7">
        <f>(H14+I14+J14)*(1+0.085)</f>
        <v/>
      </c>
      <c r="L14" s="16">
        <f>K14/(1-Configuración!$B$18)</f>
        <v/>
      </c>
      <c r="M14" s="16">
        <f>K14/(1-Configuración!$B$19)</f>
        <v/>
      </c>
    </row>
    <row r="15">
      <c r="A15" s="23" t="inlineStr">
        <is>
          <t>B.2.B</t>
        </is>
      </c>
      <c r="B15" s="23" t="inlineStr">
        <is>
          <t>Software Corp Custom (ERP/CRM)</t>
        </is>
      </c>
      <c r="C15" s="23" t="inlineStr">
        <is>
          <t>Software Corp</t>
        </is>
      </c>
      <c r="D15" s="32" t="n">
        <v>20</v>
      </c>
      <c r="E15" s="32" t="n">
        <v>30</v>
      </c>
      <c r="F15" s="32" t="n">
        <v>6</v>
      </c>
      <c r="G15" s="33" t="n">
        <v>131.25</v>
      </c>
      <c r="H15" s="25">
        <f>(D15*Configuración!$B$5)+(E15*Configuración!$B$7)+(F15*Configuración!$B$8)</f>
        <v/>
      </c>
      <c r="I15" s="25">
        <f>G15</f>
        <v/>
      </c>
      <c r="J15" s="25">
        <f>(D15+E15+F15)*'Overhead y Capacidad'!$B$27</f>
        <v/>
      </c>
      <c r="K15" s="7">
        <f>(H15+I15+J15)*(1+0.085)</f>
        <v/>
      </c>
      <c r="L15" s="16">
        <f>K15/(1-Configuración!$B$18)</f>
        <v/>
      </c>
      <c r="M15" s="16">
        <f>K15/(1-Configuración!$B$19)</f>
        <v/>
      </c>
    </row>
    <row r="16">
      <c r="A16" s="23" t="inlineStr">
        <is>
          <t>B.2.C</t>
        </is>
      </c>
      <c r="B16" s="23" t="inlineStr">
        <is>
          <t>Onboarding CRM HubSpot</t>
        </is>
      </c>
      <c r="C16" s="23" t="inlineStr">
        <is>
          <t>Implementación</t>
        </is>
      </c>
      <c r="D16" s="32" t="n">
        <v>4</v>
      </c>
      <c r="E16" s="32" t="n">
        <v>6</v>
      </c>
      <c r="F16" s="32" t="n">
        <v>0</v>
      </c>
      <c r="G16" s="33" t="n">
        <v>0</v>
      </c>
      <c r="H16" s="25">
        <f>(D16*Configuración!$B$5)+(E16*Configuración!$B$7)+(F16*Configuración!$B$8)</f>
        <v/>
      </c>
      <c r="I16" s="25">
        <f>G16</f>
        <v/>
      </c>
      <c r="J16" s="25">
        <f>(D16+E16+F16)*'Overhead y Capacidad'!$B$27</f>
        <v/>
      </c>
      <c r="K16" s="7">
        <f>(H16+I16+J16)*(1+0.085)</f>
        <v/>
      </c>
      <c r="L16" s="16">
        <f>K16/(1-Configuración!$B$18)</f>
        <v/>
      </c>
      <c r="M16" s="16">
        <f>K16/(1-Configuración!$B$19)</f>
        <v/>
      </c>
    </row>
    <row r="17">
      <c r="A17" s="23" t="inlineStr">
        <is>
          <t>CON.1</t>
        </is>
      </c>
      <c r="B17" s="23" t="inlineStr">
        <is>
          <t>Consultoría IA &amp; Prompts</t>
        </is>
      </c>
      <c r="C17" s="23" t="inlineStr">
        <is>
          <t>Consultoría</t>
        </is>
      </c>
      <c r="D17" s="32" t="n">
        <v>5</v>
      </c>
      <c r="E17" s="32" t="n">
        <v>0</v>
      </c>
      <c r="F17" s="32" t="n">
        <v>0</v>
      </c>
      <c r="G17" s="33" t="n">
        <v>0</v>
      </c>
      <c r="H17" s="25">
        <f>(D17*Configuración!$B$5)+(E17*Configuración!$B$7)+(F17*Configuración!$B$8)</f>
        <v/>
      </c>
      <c r="I17" s="25">
        <f>G17</f>
        <v/>
      </c>
      <c r="J17" s="25">
        <f>(D17+E17+F17)*'Overhead y Capacidad'!$B$27</f>
        <v/>
      </c>
      <c r="K17" s="7">
        <f>(H17+I17+J17)*(1+0.085)</f>
        <v/>
      </c>
      <c r="L17" s="16">
        <f>K17/(1-Configuración!$B$18)</f>
        <v/>
      </c>
      <c r="M17" s="16">
        <f>K17/(1-Configuración!$B$19)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38" customWidth="1" min="2" max="2"/>
    <col width="18" customWidth="1" min="3" max="3"/>
    <col width="14" customWidth="1" min="4" max="4"/>
    <col width="13" customWidth="1" min="5" max="5"/>
    <col width="10" customWidth="1" min="6" max="6"/>
    <col width="19" customWidth="1" min="7" max="7"/>
    <col width="17" customWidth="1" min="8" max="8"/>
    <col width="17" customWidth="1" min="9" max="9"/>
    <col width="21" customWidth="1" min="10" max="10"/>
    <col width="19" customWidth="1" min="11" max="11"/>
    <col width="21" customWidth="1" min="12" max="12"/>
    <col width="23" customWidth="1" min="13" max="13"/>
  </cols>
  <sheetData>
    <row r="1">
      <c r="A1" t="inlineStr">
        <is>
          <t>ANÁLISIS DE COSTOS UNITARIOS (ACU) - EXTRAS Y ADICIONALES</t>
        </is>
      </c>
    </row>
    <row r="2">
      <c r="A2" s="2" t="inlineStr">
        <is>
          <t>Cálculos de costos base y precios de seguridad para módulos y mejoras.</t>
        </is>
      </c>
    </row>
    <row r="3"/>
    <row r="4">
      <c r="A4" s="31" t="inlineStr">
        <is>
          <t>ID</t>
        </is>
      </c>
      <c r="B4" s="31" t="inlineStr">
        <is>
          <t>Nombre del Servicio</t>
        </is>
      </c>
      <c r="C4" s="31" t="inlineStr">
        <is>
          <t>Categoría</t>
        </is>
      </c>
      <c r="D4" s="31" t="inlineStr">
        <is>
          <t>Hrs Alberto</t>
        </is>
      </c>
      <c r="E4" s="31" t="inlineStr">
        <is>
          <t>Hrs Junior</t>
        </is>
      </c>
      <c r="F4" s="31" t="inlineStr">
        <is>
          <t>Hrs QA</t>
        </is>
      </c>
      <c r="G4" s="31" t="inlineStr">
        <is>
          <t>Materiales (PEN)</t>
        </is>
      </c>
      <c r="H4" s="31" t="inlineStr">
        <is>
          <t>MOD (PEN)</t>
        </is>
      </c>
      <c r="I4" s="31" t="inlineStr">
        <is>
          <t>MID (PEN)</t>
        </is>
      </c>
      <c r="J4" s="31" t="inlineStr">
        <is>
          <t>CIF/Overhead (PEN)</t>
        </is>
      </c>
      <c r="K4" s="31" t="inlineStr">
        <is>
          <t>Break-Even (PEN)</t>
        </is>
      </c>
      <c r="L4" s="31" t="inlineStr">
        <is>
          <t>P. Seguridad (PEN)</t>
        </is>
      </c>
      <c r="M4" s="31" t="inlineStr">
        <is>
          <t>Venta Sugerida (PEN)</t>
        </is>
      </c>
    </row>
    <row r="5">
      <c r="A5" s="23" t="inlineStr">
        <is>
          <t>EX-1</t>
        </is>
      </c>
      <c r="B5" s="23" t="inlineStr">
        <is>
          <t>Idioma Adicional (Multilenguaje)</t>
        </is>
      </c>
      <c r="C5" s="23" t="inlineStr">
        <is>
          <t>Módulo extra</t>
        </is>
      </c>
      <c r="D5" s="32" t="n">
        <v>1</v>
      </c>
      <c r="E5" s="32" t="n">
        <v>2</v>
      </c>
      <c r="F5" s="32" t="n">
        <v>0</v>
      </c>
      <c r="G5" s="33" t="n">
        <v>7.5</v>
      </c>
      <c r="H5" s="25">
        <f>(D5*Configuración!$B$5)+(E5*Configuración!$B$7)+(F5*Configuración!$B$8)</f>
        <v/>
      </c>
      <c r="I5" s="25">
        <f>G5</f>
        <v/>
      </c>
      <c r="J5" s="25">
        <f>(D5+E5+F5)*'Overhead y Capacidad'!$B$27</f>
        <v/>
      </c>
      <c r="K5" s="7">
        <f>(H5+I5+J5)*(1+0.085)</f>
        <v/>
      </c>
      <c r="L5" s="16">
        <f>K5/(1-Configuración!$B$18)</f>
        <v/>
      </c>
      <c r="M5" s="16">
        <f>K5/(1-Configuración!$B$19)</f>
        <v/>
      </c>
    </row>
    <row r="6">
      <c r="A6" s="23" t="inlineStr">
        <is>
          <t>EX-2</t>
        </is>
      </c>
      <c r="B6" s="23" t="inlineStr">
        <is>
          <t>Conexión a Pasarela Local</t>
        </is>
      </c>
      <c r="C6" s="23" t="inlineStr">
        <is>
          <t>Integración</t>
        </is>
      </c>
      <c r="D6" s="32" t="n">
        <v>1</v>
      </c>
      <c r="E6" s="32" t="n">
        <v>4</v>
      </c>
      <c r="F6" s="32" t="n">
        <v>0</v>
      </c>
      <c r="G6" s="33" t="n">
        <v>0</v>
      </c>
      <c r="H6" s="25">
        <f>(D6*Configuración!$B$5)+(E6*Configuración!$B$7)+(F6*Configuración!$B$8)</f>
        <v/>
      </c>
      <c r="I6" s="25">
        <f>G6</f>
        <v/>
      </c>
      <c r="J6" s="25">
        <f>(D6+E6+F6)*'Overhead y Capacidad'!$B$27</f>
        <v/>
      </c>
      <c r="K6" s="7">
        <f>(H6+I6+J6)*(1+0.085)</f>
        <v/>
      </c>
      <c r="L6" s="16">
        <f>K6/(1-Configuración!$B$18)</f>
        <v/>
      </c>
      <c r="M6" s="16">
        <f>K6/(1-Configuración!$B$19)</f>
        <v/>
      </c>
    </row>
    <row r="7">
      <c r="A7" s="23" t="inlineStr">
        <is>
          <t>EX-3</t>
        </is>
      </c>
      <c r="B7" s="23" t="inlineStr">
        <is>
          <t>Módulo de WhatsApp / Meta Extra</t>
        </is>
      </c>
      <c r="C7" s="23" t="inlineStr">
        <is>
          <t>Canal Extra</t>
        </is>
      </c>
      <c r="D7" s="32" t="n">
        <v>1</v>
      </c>
      <c r="E7" s="32" t="n">
        <v>2</v>
      </c>
      <c r="F7" s="32" t="n">
        <v>0</v>
      </c>
      <c r="G7" s="33" t="n">
        <v>15</v>
      </c>
      <c r="H7" s="25">
        <f>(D7*Configuración!$B$5)+(E7*Configuración!$B$7)+(F7*Configuración!$B$8)</f>
        <v/>
      </c>
      <c r="I7" s="25">
        <f>G7</f>
        <v/>
      </c>
      <c r="J7" s="25">
        <f>(D7+E7+F7)*'Overhead y Capacidad'!$B$27</f>
        <v/>
      </c>
      <c r="K7" s="7">
        <f>(H7+I7+J7)*(1+0.085)</f>
        <v/>
      </c>
      <c r="L7" s="16">
        <f>K7/(1-Configuración!$B$18)</f>
        <v/>
      </c>
      <c r="M7" s="16">
        <f>K7/(1-Configuración!$B$19)</f>
        <v/>
      </c>
    </row>
    <row r="8">
      <c r="A8" s="23" t="inlineStr">
        <is>
          <t>EX-4</t>
        </is>
      </c>
      <c r="B8" s="23" t="inlineStr">
        <is>
          <t>Flujo Extra de n8n</t>
        </is>
      </c>
      <c r="C8" s="23" t="inlineStr">
        <is>
          <t>Automatización</t>
        </is>
      </c>
      <c r="D8" s="32" t="n">
        <v>1</v>
      </c>
      <c r="E8" s="32" t="n">
        <v>2</v>
      </c>
      <c r="F8" s="32" t="n">
        <v>0</v>
      </c>
      <c r="G8" s="33" t="n">
        <v>0</v>
      </c>
      <c r="H8" s="25">
        <f>(D8*Configuración!$B$5)+(E8*Configuración!$B$7)+(F8*Configuración!$B$8)</f>
        <v/>
      </c>
      <c r="I8" s="25">
        <f>G8</f>
        <v/>
      </c>
      <c r="J8" s="25">
        <f>(D8+E8+F8)*'Overhead y Capacidad'!$B$27</f>
        <v/>
      </c>
      <c r="K8" s="7">
        <f>(H8+I8+J8)*(1+0.085)</f>
        <v/>
      </c>
      <c r="L8" s="16">
        <f>K8/(1-Configuración!$B$18)</f>
        <v/>
      </c>
      <c r="M8" s="16">
        <f>K8/(1-Configuración!$B$19)</f>
        <v/>
      </c>
    </row>
    <row r="9">
      <c r="A9" s="23" t="inlineStr">
        <is>
          <t>EX-5</t>
        </is>
      </c>
      <c r="B9" s="23" t="inlineStr">
        <is>
          <t>Optimización de Velocidad (WPO)</t>
        </is>
      </c>
      <c r="C9" s="23" t="inlineStr">
        <is>
          <t>Mejora</t>
        </is>
      </c>
      <c r="D9" s="32" t="n">
        <v>1</v>
      </c>
      <c r="E9" s="32" t="n">
        <v>4</v>
      </c>
      <c r="F9" s="32" t="n">
        <v>0</v>
      </c>
      <c r="G9" s="33" t="n">
        <v>75</v>
      </c>
      <c r="H9" s="25">
        <f>(D9*Configuración!$B$5)+(E9*Configuración!$B$7)+(F9*Configuración!$B$8)</f>
        <v/>
      </c>
      <c r="I9" s="25">
        <f>G9</f>
        <v/>
      </c>
      <c r="J9" s="25">
        <f>(D9+E9+F9)*'Overhead y Capacidad'!$B$27</f>
        <v/>
      </c>
      <c r="K9" s="7">
        <f>(H9+I9+J9)*(1+0.085)</f>
        <v/>
      </c>
      <c r="L9" s="16">
        <f>K9/(1-Configuración!$B$18)</f>
        <v/>
      </c>
      <c r="M9" s="16">
        <f>K9/(1-Configuración!$B$19)</f>
        <v/>
      </c>
    </row>
    <row r="10">
      <c r="A10" s="23" t="inlineStr">
        <is>
          <t>EX-6</t>
        </is>
      </c>
      <c r="B10" s="23" t="inlineStr">
        <is>
          <t>Panel de Reportes Analíticos con IA</t>
        </is>
      </c>
      <c r="C10" s="23" t="inlineStr">
        <is>
          <t>Módulo extra</t>
        </is>
      </c>
      <c r="D10" s="32" t="n">
        <v>5</v>
      </c>
      <c r="E10" s="32" t="n">
        <v>10</v>
      </c>
      <c r="F10" s="32" t="n">
        <v>2</v>
      </c>
      <c r="G10" s="33" t="n">
        <v>37.5</v>
      </c>
      <c r="H10" s="25">
        <f>(D10*Configuración!$B$5)+(E10*Configuración!$B$7)+(F10*Configuración!$B$8)</f>
        <v/>
      </c>
      <c r="I10" s="25">
        <f>G10</f>
        <v/>
      </c>
      <c r="J10" s="25">
        <f>(D10+E10+F10)*'Overhead y Capacidad'!$B$27</f>
        <v/>
      </c>
      <c r="K10" s="7">
        <f>(H10+I10+J10)*(1+0.085)</f>
        <v/>
      </c>
      <c r="L10" s="16">
        <f>K10/(1-Configuración!$B$18)</f>
        <v/>
      </c>
      <c r="M10" s="16">
        <f>K10/(1-Configuración!$B$19)</f>
        <v/>
      </c>
    </row>
    <row r="11">
      <c r="A11" s="23" t="inlineStr">
        <is>
          <t>EX-7</t>
        </is>
      </c>
      <c r="B11" s="23" t="inlineStr">
        <is>
          <t>Capacitación Técnica Extra</t>
        </is>
      </c>
      <c r="C11" s="23" t="inlineStr">
        <is>
          <t>Soporte</t>
        </is>
      </c>
      <c r="D11" s="32" t="n">
        <v>1</v>
      </c>
      <c r="E11" s="32" t="n">
        <v>0</v>
      </c>
      <c r="F11" s="32" t="n">
        <v>0</v>
      </c>
      <c r="G11" s="33" t="n">
        <v>0</v>
      </c>
      <c r="H11" s="25">
        <f>(D11*Configuración!$B$5)+(E11*Configuración!$B$7)+(F11*Configuración!$B$8)</f>
        <v/>
      </c>
      <c r="I11" s="25">
        <f>G11</f>
        <v/>
      </c>
      <c r="J11" s="25">
        <f>(D11+E11+F11)*'Overhead y Capacidad'!$B$27</f>
        <v/>
      </c>
      <c r="K11" s="7">
        <f>(H11+I11+J11)*(1+0.085)</f>
        <v/>
      </c>
      <c r="L11" s="16">
        <f>K11/(1-Configuración!$B$18)</f>
        <v/>
      </c>
      <c r="M11" s="16">
        <f>K11/(1-Configuración!$B$19)</f>
        <v/>
      </c>
    </row>
    <row r="12">
      <c r="A12" s="23" t="inlineStr">
        <is>
          <t>EX-8</t>
        </is>
      </c>
      <c r="B12" s="23" t="inlineStr">
        <is>
          <t>Dominio y SSL Setup</t>
        </is>
      </c>
      <c r="C12" s="23" t="inlineStr">
        <is>
          <t>Infraestructura</t>
        </is>
      </c>
      <c r="D12" s="32" t="n">
        <v>0</v>
      </c>
      <c r="E12" s="32" t="n">
        <v>1</v>
      </c>
      <c r="F12" s="32" t="n">
        <v>0</v>
      </c>
      <c r="G12" s="33" t="n">
        <v>0</v>
      </c>
      <c r="H12" s="25">
        <f>(D12*Configuración!$B$5)+(E12*Configuración!$B$7)+(F12*Configuración!$B$8)</f>
        <v/>
      </c>
      <c r="I12" s="25">
        <f>G12</f>
        <v/>
      </c>
      <c r="J12" s="25">
        <f>(D12+E12+F12)*'Overhead y Capacidad'!$B$27</f>
        <v/>
      </c>
      <c r="K12" s="7">
        <f>(H12+I12+J12)*(1+0.085)</f>
        <v/>
      </c>
      <c r="L12" s="16">
        <f>K12/(1-Configuración!$B$18)</f>
        <v/>
      </c>
      <c r="M12" s="16">
        <f>K12/(1-Configuración!$B$19)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20" customWidth="1" min="2" max="2"/>
    <col width="17" customWidth="1" min="3" max="3"/>
    <col width="19" customWidth="1" min="4" max="4"/>
    <col width="19" customWidth="1" min="5" max="5"/>
    <col width="18" customWidth="1" min="6" max="6"/>
    <col width="41" customWidth="1" min="7" max="7"/>
  </cols>
  <sheetData>
    <row r="1">
      <c r="A1" s="1" t="inlineStr">
        <is>
          <t>CATÁLOGO DE SERVICIOS Y TARIFARIO COMERCIAL</t>
        </is>
      </c>
    </row>
    <row r="2">
      <c r="A2" s="2" t="inlineStr">
        <is>
          <t>Resumen consolidado para impresión o cotización directa a clientes (PEN).</t>
        </is>
      </c>
    </row>
    <row r="3"/>
    <row r="4">
      <c r="A4" s="12" t="inlineStr">
        <is>
          <t>Código</t>
        </is>
      </c>
      <c r="B4" s="12" t="inlineStr">
        <is>
          <t>Servicio / Módulo</t>
        </is>
      </c>
      <c r="C4" s="12" t="inlineStr">
        <is>
          <t>Categoría</t>
        </is>
      </c>
      <c r="D4" s="12" t="inlineStr">
        <is>
          <t>Costo Break-Even</t>
        </is>
      </c>
      <c r="E4" s="12" t="inlineStr">
        <is>
          <t>Precio Seguridad</t>
        </is>
      </c>
      <c r="F4" s="12" t="inlineStr">
        <is>
          <t>Precio Sugerido</t>
        </is>
      </c>
      <c r="G4" s="12" t="inlineStr">
        <is>
          <t>Público Objetivo</t>
        </is>
      </c>
    </row>
    <row r="5">
      <c r="A5" s="23" t="inlineStr">
        <is>
          <t>C.1</t>
        </is>
      </c>
      <c r="B5" s="23">
        <f>'ACU de Servicios'!B5</f>
        <v/>
      </c>
      <c r="C5" s="23">
        <f>'ACU de Servicios'!C5</f>
        <v/>
      </c>
      <c r="D5" s="7">
        <f>'ACU de Servicios'!K5</f>
        <v/>
      </c>
      <c r="E5" s="16">
        <f>'ACU de Servicios'!L5</f>
        <v/>
      </c>
      <c r="F5" s="16">
        <f>'ACU de Servicios'!M5</f>
        <v/>
      </c>
      <c r="G5" s="23" t="inlineStr">
        <is>
          <t>Público C - Pymes</t>
        </is>
      </c>
    </row>
    <row r="6">
      <c r="A6" s="23" t="inlineStr">
        <is>
          <t>C.2.A</t>
        </is>
      </c>
      <c r="B6" s="23">
        <f>'ACU de Servicios'!B6</f>
        <v/>
      </c>
      <c r="C6" s="23">
        <f>'ACU de Servicios'!C6</f>
        <v/>
      </c>
      <c r="D6" s="7">
        <f>'ACU de Servicios'!K6</f>
        <v/>
      </c>
      <c r="E6" s="16">
        <f>'ACU de Servicios'!L6</f>
        <v/>
      </c>
      <c r="F6" s="16">
        <f>'ACU de Servicios'!M6</f>
        <v/>
      </c>
      <c r="G6" s="23" t="inlineStr">
        <is>
          <t>Público C - Pymes</t>
        </is>
      </c>
    </row>
    <row r="7">
      <c r="A7" s="23" t="inlineStr">
        <is>
          <t>B.1</t>
        </is>
      </c>
      <c r="B7" s="23">
        <f>'ACU de Servicios'!B7</f>
        <v/>
      </c>
      <c r="C7" s="23">
        <f>'ACU de Servicios'!C7</f>
        <v/>
      </c>
      <c r="D7" s="7">
        <f>'ACU de Servicios'!K7</f>
        <v/>
      </c>
      <c r="E7" s="16">
        <f>'ACU de Servicios'!L7</f>
        <v/>
      </c>
      <c r="F7" s="16">
        <f>'ACU de Servicios'!M7</f>
        <v/>
      </c>
      <c r="G7" s="23" t="inlineStr">
        <is>
          <t>Público B - Agencias / Startups</t>
        </is>
      </c>
    </row>
    <row r="8">
      <c r="A8" s="23" t="inlineStr">
        <is>
          <t>A.1</t>
        </is>
      </c>
      <c r="B8" s="23">
        <f>'ACU de Servicios'!B8</f>
        <v/>
      </c>
      <c r="C8" s="23">
        <f>'ACU de Servicios'!C8</f>
        <v/>
      </c>
      <c r="D8" s="7">
        <f>'ACU de Servicios'!K8</f>
        <v/>
      </c>
      <c r="E8" s="16">
        <f>'ACU de Servicios'!L8</f>
        <v/>
      </c>
      <c r="F8" s="16">
        <f>'ACU de Servicios'!M8</f>
        <v/>
      </c>
      <c r="G8" s="23" t="inlineStr">
        <is>
          <t>Público A - Scale-ups / Corp</t>
        </is>
      </c>
    </row>
    <row r="9">
      <c r="A9" s="23" t="inlineStr">
        <is>
          <t>C.2.B</t>
        </is>
      </c>
      <c r="B9" s="23">
        <f>'ACU de Servicios'!B9</f>
        <v/>
      </c>
      <c r="C9" s="23">
        <f>'ACU de Servicios'!C9</f>
        <v/>
      </c>
      <c r="D9" s="7">
        <f>'ACU de Servicios'!K9</f>
        <v/>
      </c>
      <c r="E9" s="16">
        <f>'ACU de Servicios'!L9</f>
        <v/>
      </c>
      <c r="F9" s="16">
        <f>'ACU de Servicios'!M9</f>
        <v/>
      </c>
      <c r="G9" s="23" t="inlineStr">
        <is>
          <t>Público C - E-Commerce / LMS</t>
        </is>
      </c>
    </row>
    <row r="10">
      <c r="A10" s="23" t="inlineStr">
        <is>
          <t>C.2.C</t>
        </is>
      </c>
      <c r="B10" s="23">
        <f>'ACU de Servicios'!B10</f>
        <v/>
      </c>
      <c r="C10" s="23">
        <f>'ACU de Servicios'!C10</f>
        <v/>
      </c>
      <c r="D10" s="7">
        <f>'ACU de Servicios'!K10</f>
        <v/>
      </c>
      <c r="E10" s="16">
        <f>'ACU de Servicios'!L10</f>
        <v/>
      </c>
      <c r="F10" s="16">
        <f>'ACU de Servicios'!M10</f>
        <v/>
      </c>
      <c r="G10" s="23" t="inlineStr">
        <is>
          <t>Público C - Landing / Pymes</t>
        </is>
      </c>
    </row>
    <row r="11">
      <c r="A11" s="23" t="inlineStr">
        <is>
          <t>B.2</t>
        </is>
      </c>
      <c r="B11" s="23">
        <f>'ACU de Servicios'!B11</f>
        <v/>
      </c>
      <c r="C11" s="23">
        <f>'ACU de Servicios'!C11</f>
        <v/>
      </c>
      <c r="D11" s="7">
        <f>'ACU de Servicios'!K11</f>
        <v/>
      </c>
      <c r="E11" s="16">
        <f>'ACU de Servicios'!L11</f>
        <v/>
      </c>
      <c r="F11" s="16">
        <f>'ACU de Servicios'!M11</f>
        <v/>
      </c>
      <c r="G11" s="23" t="inlineStr">
        <is>
          <t>Público B - App Web React</t>
        </is>
      </c>
    </row>
    <row r="12">
      <c r="A12" s="23" t="inlineStr">
        <is>
          <t>RET.B</t>
        </is>
      </c>
      <c r="B12" s="23">
        <f>'ACU de Servicios'!B12</f>
        <v/>
      </c>
      <c r="C12" s="23">
        <f>'ACU de Servicios'!C12</f>
        <v/>
      </c>
      <c r="D12" s="7">
        <f>'ACU de Servicios'!K12</f>
        <v/>
      </c>
      <c r="E12" s="16">
        <f>'ACU de Servicios'!L12</f>
        <v/>
      </c>
      <c r="F12" s="16">
        <f>'ACU de Servicios'!M12</f>
        <v/>
      </c>
      <c r="G12" s="23" t="inlineStr">
        <is>
          <t>Público C/B - Soporte SLA mensual</t>
        </is>
      </c>
    </row>
    <row r="13">
      <c r="A13" s="23" t="inlineStr">
        <is>
          <t>RET.A</t>
        </is>
      </c>
      <c r="B13" s="23">
        <f>'ACU de Servicios'!B13</f>
        <v/>
      </c>
      <c r="C13" s="23">
        <f>'ACU de Servicios'!C13</f>
        <v/>
      </c>
      <c r="D13" s="7">
        <f>'ACU de Servicios'!K13</f>
        <v/>
      </c>
      <c r="E13" s="16">
        <f>'ACU de Servicios'!L13</f>
        <v/>
      </c>
      <c r="F13" s="16">
        <f>'ACU de Servicios'!M13</f>
        <v/>
      </c>
      <c r="G13" s="23" t="inlineStr">
        <is>
          <t>Público B/A - Soporte IA mensual</t>
        </is>
      </c>
    </row>
    <row r="14">
      <c r="A14" s="23" t="inlineStr">
        <is>
          <t>A.2</t>
        </is>
      </c>
      <c r="B14" s="23">
        <f>'ACU de Servicios'!B14</f>
        <v/>
      </c>
      <c r="C14" s="23">
        <f>'ACU de Servicios'!C14</f>
        <v/>
      </c>
      <c r="D14" s="7">
        <f>'ACU de Servicios'!K14</f>
        <v/>
      </c>
      <c r="E14" s="16">
        <f>'ACU de Servicios'!L14</f>
        <v/>
      </c>
      <c r="F14" s="16">
        <f>'ACU de Servicios'!M14</f>
        <v/>
      </c>
      <c r="G14" s="23" t="inlineStr">
        <is>
          <t>Público A - Plataformas SaaS Next.js</t>
        </is>
      </c>
    </row>
    <row r="15">
      <c r="A15" s="23" t="inlineStr">
        <is>
          <t>B.2.B</t>
        </is>
      </c>
      <c r="B15" s="23">
        <f>'ACU de Servicios'!B15</f>
        <v/>
      </c>
      <c r="C15" s="23">
        <f>'ACU de Servicios'!C15</f>
        <v/>
      </c>
      <c r="D15" s="7">
        <f>'ACU de Servicios'!K15</f>
        <v/>
      </c>
      <c r="E15" s="16">
        <f>'ACU de Servicios'!L15</f>
        <v/>
      </c>
      <c r="F15" s="16">
        <f>'ACU de Servicios'!M15</f>
        <v/>
      </c>
      <c r="G15" s="23" t="inlineStr">
        <is>
          <t>Público B - Software Corp ERP</t>
        </is>
      </c>
    </row>
    <row r="16">
      <c r="A16" s="23" t="inlineStr">
        <is>
          <t>B.2.C</t>
        </is>
      </c>
      <c r="B16" s="23">
        <f>'ACU de Servicios'!B16</f>
        <v/>
      </c>
      <c r="C16" s="23">
        <f>'ACU de Servicios'!C16</f>
        <v/>
      </c>
      <c r="D16" s="7">
        <f>'ACU de Servicios'!K16</f>
        <v/>
      </c>
      <c r="E16" s="16">
        <f>'ACU de Servicios'!L16</f>
        <v/>
      </c>
      <c r="F16" s="16">
        <f>'ACU de Servicios'!M16</f>
        <v/>
      </c>
      <c r="G16" s="23" t="inlineStr">
        <is>
          <t>Público B - Onboarding CRM</t>
        </is>
      </c>
    </row>
    <row r="17">
      <c r="A17" s="23" t="inlineStr">
        <is>
          <t>CON.1</t>
        </is>
      </c>
      <c r="B17" s="23">
        <f>'ACU de Servicios'!B17</f>
        <v/>
      </c>
      <c r="C17" s="23">
        <f>'ACU de Servicios'!C17</f>
        <v/>
      </c>
      <c r="D17" s="7">
        <f>'ACU de Servicios'!K17</f>
        <v/>
      </c>
      <c r="E17" s="16">
        <f>'ACU de Servicios'!L17</f>
        <v/>
      </c>
      <c r="F17" s="16">
        <f>'ACU de Servicios'!M17</f>
        <v/>
      </c>
      <c r="G17" s="23" t="inlineStr">
        <is>
          <t>Público B/A - Consultoría IA</t>
        </is>
      </c>
    </row>
    <row r="18">
      <c r="A18" s="34" t="inlineStr">
        <is>
          <t>EX-1</t>
        </is>
      </c>
      <c r="B18" s="34">
        <f>'ACU de Adicionales'!B5</f>
        <v/>
      </c>
      <c r="C18" s="34">
        <f>'ACU de Adicionales'!C5</f>
        <v/>
      </c>
      <c r="D18" s="35">
        <f>'ACU de Adicionales'!K5</f>
        <v/>
      </c>
      <c r="E18" s="35">
        <f>'ACU de Adicionales'!L5</f>
        <v/>
      </c>
      <c r="F18" s="35">
        <f>'ACU de Adicionales'!M5</f>
        <v/>
      </c>
      <c r="G18" s="34" t="inlineStr">
        <is>
          <t>Módulo Adicional Multilenguaje</t>
        </is>
      </c>
    </row>
    <row r="19">
      <c r="A19" s="34" t="inlineStr">
        <is>
          <t>EX-2</t>
        </is>
      </c>
      <c r="B19" s="34">
        <f>'ACU de Adicionales'!B6</f>
        <v/>
      </c>
      <c r="C19" s="34">
        <f>'ACU de Adicionales'!C6</f>
        <v/>
      </c>
      <c r="D19" s="35">
        <f>'ACU de Adicionales'!K6</f>
        <v/>
      </c>
      <c r="E19" s="35">
        <f>'ACU de Adicionales'!L6</f>
        <v/>
      </c>
      <c r="F19" s="35">
        <f>'ACU de Adicionales'!M6</f>
        <v/>
      </c>
      <c r="G19" s="34" t="inlineStr">
        <is>
          <t>Pasarela Local (Culqi/Niubiz)</t>
        </is>
      </c>
    </row>
    <row r="20">
      <c r="A20" s="34" t="inlineStr">
        <is>
          <t>EX-3</t>
        </is>
      </c>
      <c r="B20" s="34">
        <f>'ACU de Adicionales'!B7</f>
        <v/>
      </c>
      <c r="C20" s="34">
        <f>'ACU de Adicionales'!C7</f>
        <v/>
      </c>
      <c r="D20" s="35">
        <f>'ACU de Adicionales'!K7</f>
        <v/>
      </c>
      <c r="E20" s="35">
        <f>'ACU de Adicionales'!L7</f>
        <v/>
      </c>
      <c r="F20" s="35">
        <f>'ACU de Adicionales'!M7</f>
        <v/>
      </c>
      <c r="G20" s="34" t="inlineStr">
        <is>
          <t>Meta WhatsApp API Módulo Extra</t>
        </is>
      </c>
    </row>
    <row r="21">
      <c r="A21" s="34" t="inlineStr">
        <is>
          <t>EX-4</t>
        </is>
      </c>
      <c r="B21" s="34">
        <f>'ACU de Adicionales'!B8</f>
        <v/>
      </c>
      <c r="C21" s="34">
        <f>'ACU de Adicionales'!C8</f>
        <v/>
      </c>
      <c r="D21" s="35">
        <f>'ACU de Adicionales'!K8</f>
        <v/>
      </c>
      <c r="E21" s="35">
        <f>'ACU de Adicionales'!L8</f>
        <v/>
      </c>
      <c r="F21" s="35">
        <f>'ACU de Adicionales'!M8</f>
        <v/>
      </c>
      <c r="G21" s="34" t="inlineStr">
        <is>
          <t>Flujo Automatización Extra n8n</t>
        </is>
      </c>
    </row>
    <row r="22">
      <c r="A22" s="34" t="inlineStr">
        <is>
          <t>EX-5</t>
        </is>
      </c>
      <c r="B22" s="34">
        <f>'ACU de Adicionales'!B9</f>
        <v/>
      </c>
      <c r="C22" s="34">
        <f>'ACU de Adicionales'!C9</f>
        <v/>
      </c>
      <c r="D22" s="35">
        <f>'ACU de Adicionales'!K9</f>
        <v/>
      </c>
      <c r="E22" s="35">
        <f>'ACU de Adicionales'!L9</f>
        <v/>
      </c>
      <c r="F22" s="35">
        <f>'ACU de Adicionales'!M9</f>
        <v/>
      </c>
      <c r="G22" s="34" t="inlineStr">
        <is>
          <t>Optimización de Carga WPO Web</t>
        </is>
      </c>
    </row>
    <row r="23">
      <c r="A23" s="34" t="inlineStr">
        <is>
          <t>EX-6</t>
        </is>
      </c>
      <c r="B23" s="34">
        <f>'ACU de Adicionales'!B10</f>
        <v/>
      </c>
      <c r="C23" s="34">
        <f>'ACU de Adicionales'!C10</f>
        <v/>
      </c>
      <c r="D23" s="35">
        <f>'ACU de Adicionales'!K10</f>
        <v/>
      </c>
      <c r="E23" s="35">
        <f>'ACU de Adicionales'!L10</f>
        <v/>
      </c>
      <c r="F23" s="35">
        <f>'ACU de Adicionales'!M10</f>
        <v/>
      </c>
      <c r="G23" s="34" t="inlineStr">
        <is>
          <t>Dashboard Analítico en Silhouette OS</t>
        </is>
      </c>
    </row>
    <row r="24">
      <c r="A24" s="34" t="inlineStr">
        <is>
          <t>EX-7</t>
        </is>
      </c>
      <c r="B24" s="34">
        <f>'ACU de Adicionales'!B11</f>
        <v/>
      </c>
      <c r="C24" s="34">
        <f>'ACU de Adicionales'!C11</f>
        <v/>
      </c>
      <c r="D24" s="35">
        <f>'ACU de Adicionales'!K11</f>
        <v/>
      </c>
      <c r="E24" s="35">
        <f>'ACU de Adicionales'!L11</f>
        <v/>
      </c>
      <c r="F24" s="35">
        <f>'ACU de Adicionales'!M11</f>
        <v/>
      </c>
      <c r="G24" s="34" t="inlineStr">
        <is>
          <t>Capacitación a Personal Técnico / hora</t>
        </is>
      </c>
    </row>
    <row r="25">
      <c r="A25" s="34" t="inlineStr">
        <is>
          <t>EX-8</t>
        </is>
      </c>
      <c r="B25" s="34">
        <f>'ACU de Adicionales'!B12</f>
        <v/>
      </c>
      <c r="C25" s="34">
        <f>'ACU de Adicionales'!C12</f>
        <v/>
      </c>
      <c r="D25" s="35">
        <f>'ACU de Adicionales'!K12</f>
        <v/>
      </c>
      <c r="E25" s="35">
        <f>'ACU de Adicionales'!L12</f>
        <v/>
      </c>
      <c r="F25" s="35">
        <f>'ACU de Adicionales'!M12</f>
        <v/>
      </c>
      <c r="G25" s="34" t="inlineStr">
        <is>
          <t>Registro de Dominio y SSL Setup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selection activeCell="A1" sqref="A1"/>
    </sheetView>
  </sheetViews>
  <sheetFormatPr baseColWidth="8" defaultRowHeight="15"/>
  <cols>
    <col width="125" customWidth="1" min="1" max="1"/>
    <col width="17" customWidth="1" min="2" max="2"/>
    <col width="17" customWidth="1" min="3" max="3"/>
    <col width="17" customWidth="1" min="4" max="4"/>
    <col width="20" customWidth="1" min="5" max="5"/>
    <col width="24" customWidth="1" min="6" max="6"/>
    <col width="22" customWidth="1" min="7" max="7"/>
    <col width="21" customWidth="1" min="8" max="8"/>
    <col width="26" customWidth="1" min="9" max="9"/>
    <col width="26" customWidth="1" min="10" max="10"/>
    <col width="30" customWidth="1" min="11" max="11"/>
    <col width="25" customWidth="1" min="12" max="12"/>
  </cols>
  <sheetData>
    <row r="1">
      <c r="A1" s="1" t="inlineStr">
        <is>
          <t>SIMULADOR DE FLUJO DE CAJA ANUAL PROYECTADO</t>
        </is>
      </c>
    </row>
    <row r="2">
      <c r="A2" s="2" t="inlineStr">
        <is>
          <t>Modifica el número de proyectos vendidos al mes (celdas amarillas) para proyectar tu flujo de caja real anual bajo el RMT.</t>
        </is>
      </c>
    </row>
    <row r="3"/>
    <row r="4">
      <c r="A4" s="31" t="inlineStr">
        <is>
          <t>Mes</t>
        </is>
      </c>
      <c r="B4" s="31" t="inlineStr">
        <is>
          <t>Proy. C (C.1)</t>
        </is>
      </c>
      <c r="C4" s="31" t="inlineStr">
        <is>
          <t>Proy. B (B.1)</t>
        </is>
      </c>
      <c r="D4" s="31" t="inlineStr">
        <is>
          <t>Proy. A (A.1)</t>
        </is>
      </c>
      <c r="E4" s="31" t="inlineStr">
        <is>
          <t>Retainers (RET.B)</t>
        </is>
      </c>
      <c r="F4" s="31" t="inlineStr">
        <is>
          <t>Ingresos Brutos (S/.)</t>
        </is>
      </c>
      <c r="G4" s="31" t="inlineStr">
        <is>
          <t>Overhead Fijo (S/.)</t>
        </is>
      </c>
      <c r="H4" s="31" t="inlineStr">
        <is>
          <t>Nómina Apoyo (S/.)</t>
        </is>
      </c>
      <c r="I4" s="31" t="inlineStr">
        <is>
          <t>Impuesto RMT (1%) (S/.)</t>
        </is>
      </c>
      <c r="J4" s="31" t="inlineStr">
        <is>
          <t>Comisiones (8.5%) (S/.)</t>
        </is>
      </c>
      <c r="K4" s="31" t="inlineStr">
        <is>
          <t>Provisión Renta (10%) (S/.)</t>
        </is>
      </c>
      <c r="L4" s="31" t="inlineStr">
        <is>
          <t>Flujo Disponible (S/.)</t>
        </is>
      </c>
    </row>
    <row r="5">
      <c r="A5" s="23" t="inlineStr">
        <is>
          <t>Enero</t>
        </is>
      </c>
      <c r="B5" s="19" t="n">
        <v>0</v>
      </c>
      <c r="C5" s="19" t="n">
        <v>0</v>
      </c>
      <c r="D5" s="19" t="n">
        <v>0</v>
      </c>
      <c r="E5" s="19" t="n">
        <v>2</v>
      </c>
      <c r="F5" s="7">
        <f>(B5*'Catálogo Comercial'!$F$5)+(C5*'Catálogo Comercial'!$F$7)+(D5*'Catálogo Comercial'!$F$8)+(E5*'Catálogo Comercial'!$F$12)</f>
        <v/>
      </c>
      <c r="G5" s="33">
        <f>'Overhead y Capacidad'!$B$26</f>
        <v/>
      </c>
      <c r="H5" s="33">
        <f>(B5*180.00)+(C5*517.50)+(D5*862.50)+(E5*60.00)</f>
        <v/>
      </c>
      <c r="I5" s="33">
        <f>F5*Configuración!$B$13</f>
        <v/>
      </c>
      <c r="J5" s="33">
        <f>F5*0.085</f>
        <v/>
      </c>
      <c r="K5" s="33">
        <f>IF((F5-G5-H5-J5)&gt;0, (F5-G5-H5-J5)*Configuración!$B$14, 0.0)</f>
        <v/>
      </c>
      <c r="L5" s="16">
        <f>F5-G5-H5-I5-J5-K5</f>
        <v/>
      </c>
    </row>
    <row r="6">
      <c r="A6" s="23" t="inlineStr">
        <is>
          <t>Febrero</t>
        </is>
      </c>
      <c r="B6" s="19" t="n">
        <v>1</v>
      </c>
      <c r="C6" s="19" t="n">
        <v>1</v>
      </c>
      <c r="D6" s="19" t="n">
        <v>0</v>
      </c>
      <c r="E6" s="19" t="n">
        <v>2</v>
      </c>
      <c r="F6" s="7">
        <f>(B6*'Catálogo Comercial'!$F$5)+(C6*'Catálogo Comercial'!$F$7)+(D6*'Catálogo Comercial'!$F$8)+(E6*'Catálogo Comercial'!$F$12)</f>
        <v/>
      </c>
      <c r="G6" s="33">
        <f>'Overhead y Capacidad'!$B$26</f>
        <v/>
      </c>
      <c r="H6" s="33">
        <f>(B6*180.00)+(C6*517.50)+(D6*862.50)+(E6*60.00)</f>
        <v/>
      </c>
      <c r="I6" s="33">
        <f>F6*Configuración!$B$13</f>
        <v/>
      </c>
      <c r="J6" s="33">
        <f>F6*0.085</f>
        <v/>
      </c>
      <c r="K6" s="33">
        <f>IF((F6-G6-H6-J6)&gt;0, (F6-G6-H6-J6)*Configuración!$B$14, 0.0)</f>
        <v/>
      </c>
      <c r="L6" s="16">
        <f>F6-G6-H6-I6-J6-K6</f>
        <v/>
      </c>
    </row>
    <row r="7">
      <c r="A7" s="23" t="inlineStr">
        <is>
          <t>Marzo</t>
        </is>
      </c>
      <c r="B7" s="19" t="n">
        <v>0</v>
      </c>
      <c r="C7" s="19" t="n">
        <v>0</v>
      </c>
      <c r="D7" s="19" t="n">
        <v>0</v>
      </c>
      <c r="E7" s="19" t="n">
        <v>2</v>
      </c>
      <c r="F7" s="7">
        <f>(B7*'Catálogo Comercial'!$F$5)+(C7*'Catálogo Comercial'!$F$7)+(D7*'Catálogo Comercial'!$F$8)+(E7*'Catálogo Comercial'!$F$12)</f>
        <v/>
      </c>
      <c r="G7" s="33">
        <f>'Overhead y Capacidad'!$B$26</f>
        <v/>
      </c>
      <c r="H7" s="33">
        <f>(B7*180.00)+(C7*517.50)+(D7*862.50)+(E7*60.00)</f>
        <v/>
      </c>
      <c r="I7" s="33">
        <f>F7*Configuración!$B$13</f>
        <v/>
      </c>
      <c r="J7" s="33">
        <f>F7*0.085</f>
        <v/>
      </c>
      <c r="K7" s="33">
        <f>IF((F7-G7-H7-J7)&gt;0, (F7-G7-H7-J7)*Configuración!$B$14, 0.0)</f>
        <v/>
      </c>
      <c r="L7" s="16">
        <f>F7-G7-H7-I7-J7-K7</f>
        <v/>
      </c>
    </row>
    <row r="8">
      <c r="A8" s="23" t="inlineStr">
        <is>
          <t>Abril</t>
        </is>
      </c>
      <c r="B8" s="19" t="n">
        <v>1</v>
      </c>
      <c r="C8" s="19" t="n">
        <v>0</v>
      </c>
      <c r="D8" s="19" t="n">
        <v>1</v>
      </c>
      <c r="E8" s="19" t="n">
        <v>4</v>
      </c>
      <c r="F8" s="7">
        <f>(B8*'Catálogo Comercial'!$F$5)+(C8*'Catálogo Comercial'!$F$7)+(D8*'Catálogo Comercial'!$F$8)+(E8*'Catálogo Comercial'!$F$12)</f>
        <v/>
      </c>
      <c r="G8" s="33">
        <f>'Overhead y Capacidad'!$B$26</f>
        <v/>
      </c>
      <c r="H8" s="33">
        <f>(B8*180.00)+(C8*517.50)+(D8*862.50)+(E8*60.00)</f>
        <v/>
      </c>
      <c r="I8" s="33">
        <f>F8*Configuración!$B$13</f>
        <v/>
      </c>
      <c r="J8" s="33">
        <f>F8*0.085</f>
        <v/>
      </c>
      <c r="K8" s="33">
        <f>IF((F8-G8-H8-J8)&gt;0, (F8-G8-H8-J8)*Configuración!$B$14, 0.0)</f>
        <v/>
      </c>
      <c r="L8" s="16">
        <f>F8-G8-H8-I8-J8-K8</f>
        <v/>
      </c>
    </row>
    <row r="9">
      <c r="A9" s="23" t="inlineStr">
        <is>
          <t>Mayo</t>
        </is>
      </c>
      <c r="B9" s="19" t="n">
        <v>0</v>
      </c>
      <c r="C9" s="19" t="n">
        <v>1</v>
      </c>
      <c r="D9" s="19" t="n">
        <v>0</v>
      </c>
      <c r="E9" s="19" t="n">
        <v>4</v>
      </c>
      <c r="F9" s="7">
        <f>(B9*'Catálogo Comercial'!$F$5)+(C9*'Catálogo Comercial'!$F$7)+(D9*'Catálogo Comercial'!$F$8)+(E9*'Catálogo Comercial'!$F$12)</f>
        <v/>
      </c>
      <c r="G9" s="33">
        <f>'Overhead y Capacidad'!$B$26</f>
        <v/>
      </c>
      <c r="H9" s="33">
        <f>(B9*180.00)+(C9*517.50)+(D9*862.50)+(E9*60.00)</f>
        <v/>
      </c>
      <c r="I9" s="33">
        <f>F9*Configuración!$B$13</f>
        <v/>
      </c>
      <c r="J9" s="33">
        <f>F9*0.085</f>
        <v/>
      </c>
      <c r="K9" s="33">
        <f>IF((F9-G9-H9-J9)&gt;0, (F9-G9-H9-J9)*Configuración!$B$14, 0.0)</f>
        <v/>
      </c>
      <c r="L9" s="16">
        <f>F9-G9-H9-I9-J9-K9</f>
        <v/>
      </c>
    </row>
    <row r="10">
      <c r="A10" s="23" t="inlineStr">
        <is>
          <t>Junio</t>
        </is>
      </c>
      <c r="B10" s="19" t="n">
        <v>1</v>
      </c>
      <c r="C10" s="19" t="n">
        <v>0</v>
      </c>
      <c r="D10" s="19" t="n">
        <v>0</v>
      </c>
      <c r="E10" s="19" t="n">
        <v>4</v>
      </c>
      <c r="F10" s="7">
        <f>(B10*'Catálogo Comercial'!$F$5)+(C10*'Catálogo Comercial'!$F$7)+(D10*'Catálogo Comercial'!$F$8)+(E10*'Catálogo Comercial'!$F$12)</f>
        <v/>
      </c>
      <c r="G10" s="33">
        <f>'Overhead y Capacidad'!$B$26</f>
        <v/>
      </c>
      <c r="H10" s="33">
        <f>(B10*180.00)+(C10*517.50)+(D10*862.50)+(E10*60.00)</f>
        <v/>
      </c>
      <c r="I10" s="33">
        <f>F10*Configuración!$B$13</f>
        <v/>
      </c>
      <c r="J10" s="33">
        <f>F10*0.085</f>
        <v/>
      </c>
      <c r="K10" s="33">
        <f>IF((F10-G10-H10-J10)&gt;0, (F10-G10-H10-J10)*Configuración!$B$14, 0.0)</f>
        <v/>
      </c>
      <c r="L10" s="16">
        <f>F10-G10-H10-I10-J10-K10</f>
        <v/>
      </c>
    </row>
    <row r="11">
      <c r="A11" s="23" t="inlineStr">
        <is>
          <t>Julio</t>
        </is>
      </c>
      <c r="B11" s="19" t="n">
        <v>0</v>
      </c>
      <c r="C11" s="19" t="n">
        <v>0</v>
      </c>
      <c r="D11" s="19" t="n">
        <v>0</v>
      </c>
      <c r="E11" s="19" t="n">
        <v>4</v>
      </c>
      <c r="F11" s="7">
        <f>(B11*'Catálogo Comercial'!$F$5)+(C11*'Catálogo Comercial'!$F$7)+(D11*'Catálogo Comercial'!$F$8)+(E11*'Catálogo Comercial'!$F$12)</f>
        <v/>
      </c>
      <c r="G11" s="33">
        <f>'Overhead y Capacidad'!$B$26</f>
        <v/>
      </c>
      <c r="H11" s="33">
        <f>(B11*180.00)+(C11*517.50)+(D11*862.50)+(E11*60.00)</f>
        <v/>
      </c>
      <c r="I11" s="33">
        <f>F11*Configuración!$B$13</f>
        <v/>
      </c>
      <c r="J11" s="33">
        <f>F11*0.085</f>
        <v/>
      </c>
      <c r="K11" s="33">
        <f>IF((F11-G11-H11-J11)&gt;0, (F11-G11-H11-J11)*Configuración!$B$14, 0.0)</f>
        <v/>
      </c>
      <c r="L11" s="16">
        <f>F11-G11-H11-I11-J11-K11</f>
        <v/>
      </c>
    </row>
    <row r="12">
      <c r="A12" s="23" t="inlineStr">
        <is>
          <t>Agosto</t>
        </is>
      </c>
      <c r="B12" s="19" t="n">
        <v>1</v>
      </c>
      <c r="C12" s="19" t="n">
        <v>1</v>
      </c>
      <c r="D12" s="19" t="n">
        <v>0</v>
      </c>
      <c r="E12" s="19" t="n">
        <v>4</v>
      </c>
      <c r="F12" s="7">
        <f>(B12*'Catálogo Comercial'!$F$5)+(C12*'Catálogo Comercial'!$F$7)+(D12*'Catálogo Comercial'!$F$8)+(E12*'Catálogo Comercial'!$F$12)</f>
        <v/>
      </c>
      <c r="G12" s="33">
        <f>'Overhead y Capacidad'!$B$26</f>
        <v/>
      </c>
      <c r="H12" s="33">
        <f>(B12*180.00)+(C12*517.50)+(D12*862.50)+(E12*60.00)</f>
        <v/>
      </c>
      <c r="I12" s="33">
        <f>F12*Configuración!$B$13</f>
        <v/>
      </c>
      <c r="J12" s="33">
        <f>F12*0.085</f>
        <v/>
      </c>
      <c r="K12" s="33">
        <f>IF((F12-G12-H12-J12)&gt;0, (F12-G12-H12-J12)*Configuración!$B$14, 0.0)</f>
        <v/>
      </c>
      <c r="L12" s="16">
        <f>F12-G12-H12-I12-J12-K12</f>
        <v/>
      </c>
    </row>
    <row r="13">
      <c r="A13" s="23" t="inlineStr">
        <is>
          <t>Septiembre</t>
        </is>
      </c>
      <c r="B13" s="19" t="n">
        <v>0</v>
      </c>
      <c r="C13" s="19" t="n">
        <v>0</v>
      </c>
      <c r="D13" s="19" t="n">
        <v>0</v>
      </c>
      <c r="E13" s="19" t="n">
        <v>4</v>
      </c>
      <c r="F13" s="7">
        <f>(B13*'Catálogo Comercial'!$F$5)+(C13*'Catálogo Comercial'!$F$7)+(D13*'Catálogo Comercial'!$F$8)+(E13*'Catálogo Comercial'!$F$12)</f>
        <v/>
      </c>
      <c r="G13" s="33">
        <f>'Overhead y Capacidad'!$B$26</f>
        <v/>
      </c>
      <c r="H13" s="33">
        <f>(B13*180.00)+(C13*517.50)+(D13*862.50)+(E13*60.00)</f>
        <v/>
      </c>
      <c r="I13" s="33">
        <f>F13*Configuración!$B$13</f>
        <v/>
      </c>
      <c r="J13" s="33">
        <f>F13*0.085</f>
        <v/>
      </c>
      <c r="K13" s="33">
        <f>IF((F13-G13-H13-J13)&gt;0, (F13-G13-H13-J13)*Configuración!$B$14, 0.0)</f>
        <v/>
      </c>
      <c r="L13" s="16">
        <f>F13-G13-H13-I13-J13-K13</f>
        <v/>
      </c>
    </row>
    <row r="14">
      <c r="A14" s="23" t="inlineStr">
        <is>
          <t>Octubre</t>
        </is>
      </c>
      <c r="B14" s="19" t="n">
        <v>1</v>
      </c>
      <c r="C14" s="19" t="n">
        <v>0</v>
      </c>
      <c r="D14" s="19" t="n">
        <v>0</v>
      </c>
      <c r="E14" s="19" t="n">
        <v>4</v>
      </c>
      <c r="F14" s="7">
        <f>(B14*'Catálogo Comercial'!$F$5)+(C14*'Catálogo Comercial'!$F$7)+(D14*'Catálogo Comercial'!$F$8)+(E14*'Catálogo Comercial'!$F$12)</f>
        <v/>
      </c>
      <c r="G14" s="33">
        <f>'Overhead y Capacidad'!$B$26</f>
        <v/>
      </c>
      <c r="H14" s="33">
        <f>(B14*180.00)+(C14*517.50)+(D14*862.50)+(E14*60.00)</f>
        <v/>
      </c>
      <c r="I14" s="33">
        <f>F14*Configuración!$B$13</f>
        <v/>
      </c>
      <c r="J14" s="33">
        <f>F14*0.085</f>
        <v/>
      </c>
      <c r="K14" s="33">
        <f>IF((F14-G14-H14-J14)&gt;0, (F14-G14-H14-J14)*Configuración!$B$14, 0.0)</f>
        <v/>
      </c>
      <c r="L14" s="16">
        <f>F14-G14-H14-I14-J14-K14</f>
        <v/>
      </c>
    </row>
    <row r="15">
      <c r="A15" s="23" t="inlineStr">
        <is>
          <t>Noviembre</t>
        </is>
      </c>
      <c r="B15" s="19" t="n">
        <v>0</v>
      </c>
      <c r="C15" s="19" t="n">
        <v>1</v>
      </c>
      <c r="D15" s="19" t="n">
        <v>0</v>
      </c>
      <c r="E15" s="19" t="n">
        <v>4</v>
      </c>
      <c r="F15" s="7">
        <f>(B15*'Catálogo Comercial'!$F$5)+(C15*'Catálogo Comercial'!$F$7)+(D15*'Catálogo Comercial'!$F$8)+(E15*'Catálogo Comercial'!$F$12)</f>
        <v/>
      </c>
      <c r="G15" s="33">
        <f>'Overhead y Capacidad'!$B$26</f>
        <v/>
      </c>
      <c r="H15" s="33">
        <f>(B15*180.00)+(C15*517.50)+(D15*862.50)+(E15*60.00)</f>
        <v/>
      </c>
      <c r="I15" s="33">
        <f>F15*Configuración!$B$13</f>
        <v/>
      </c>
      <c r="J15" s="33">
        <f>F15*0.085</f>
        <v/>
      </c>
      <c r="K15" s="33">
        <f>IF((F15-G15-H15-J15)&gt;0, (F15-G15-H15-J15)*Configuración!$B$14, 0.0)</f>
        <v/>
      </c>
      <c r="L15" s="16">
        <f>F15-G15-H15-I15-J15-K15</f>
        <v/>
      </c>
    </row>
    <row r="16">
      <c r="A16" s="23" t="inlineStr">
        <is>
          <t>Diciembre</t>
        </is>
      </c>
      <c r="B16" s="19" t="n">
        <v>1</v>
      </c>
      <c r="C16" s="19" t="n">
        <v>0</v>
      </c>
      <c r="D16" s="19" t="n">
        <v>0</v>
      </c>
      <c r="E16" s="19" t="n">
        <v>4</v>
      </c>
      <c r="F16" s="7">
        <f>(B16*'Catálogo Comercial'!$F$5)+(C16*'Catálogo Comercial'!$F$7)+(D16*'Catálogo Comercial'!$F$8)+(E16*'Catálogo Comercial'!$F$12)</f>
        <v/>
      </c>
      <c r="G16" s="33">
        <f>'Overhead y Capacidad'!$B$26</f>
        <v/>
      </c>
      <c r="H16" s="33">
        <f>(B16*180.00)+(C16*517.50)+(D16*862.50)+(E16*60.00)</f>
        <v/>
      </c>
      <c r="I16" s="33">
        <f>F16*Configuración!$B$13</f>
        <v/>
      </c>
      <c r="J16" s="33">
        <f>F16*0.085</f>
        <v/>
      </c>
      <c r="K16" s="33">
        <f>IF((F16-G16-H16-J16)&gt;0, (F16-G16-H16-J16)*Configuración!$B$14, 0.0)</f>
        <v/>
      </c>
      <c r="L16" s="16">
        <f>F16-G16-H16-I16-J16-K16</f>
        <v/>
      </c>
    </row>
    <row r="17">
      <c r="A17" s="36" t="inlineStr">
        <is>
          <t>TOTAL ANUAL</t>
        </is>
      </c>
      <c r="B17" s="37">
        <f>SUM(B5:B16)</f>
        <v/>
      </c>
      <c r="C17" s="37">
        <f>SUM(C5:C16)</f>
        <v/>
      </c>
      <c r="D17" s="37">
        <f>SUM(D5:D16)</f>
        <v/>
      </c>
      <c r="E17" s="37">
        <f>SUM(E5:E16)</f>
        <v/>
      </c>
      <c r="F17" s="38">
        <f>SUM(F5:F16)</f>
        <v/>
      </c>
      <c r="G17" s="39">
        <f>SUM(G5:G16)</f>
        <v/>
      </c>
      <c r="H17" s="39">
        <f>SUM(H5:H16)</f>
        <v/>
      </c>
      <c r="I17" s="39">
        <f>SUM(I5:I16)</f>
        <v/>
      </c>
      <c r="J17" s="39">
        <f>SUM(J5:J16)</f>
        <v/>
      </c>
      <c r="K17" s="39">
        <f>SUM(K5:K16)</f>
        <v/>
      </c>
      <c r="L17" s="30">
        <f>SUM(L5:L16)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2026-06-18T03:56:47Z</dcterms:created>
  <dcterms:modified xmlns:dcterms="http://purl.org/dc/terms/" xmlns:xsi="http://www.w3.org/2001/XMLSchema-instance" xsi:type="dcterms:W3CDTF">2026-06-18T03:56:47Z</dcterms:modified>
</cp:coreProperties>
</file>